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526e53bd9b9093a/Excel-Templates-All/Math -All-Math Tutor-Jason Professor Leonard/MATH PLOT/"/>
    </mc:Choice>
  </mc:AlternateContent>
  <xr:revisionPtr revIDLastSave="61" documentId="11_F25DC773A252ABDACC1048E0391C5A4A5BDE58E5" xr6:coauthVersionLast="47" xr6:coauthVersionMax="47" xr10:uidLastSave="{B37D67AA-F742-45DE-9104-45C724B5346C}"/>
  <bookViews>
    <workbookView xWindow="-110" yWindow="-110" windowWidth="19420" windowHeight="11020" firstSheet="1" activeTab="5" xr2:uid="{00000000-000D-0000-FFFF-FFFF00000000}"/>
  </bookViews>
  <sheets>
    <sheet name="Sin Cos complimentary" sheetId="2" r:id="rId1"/>
    <sheet name="sec cosec" sheetId="4" r:id="rId2"/>
    <sheet name="csc sine" sheetId="8" r:id="rId3"/>
    <sheet name="tan " sheetId="7" r:id="rId4"/>
    <sheet name="tan graph" sheetId="5" r:id="rId5"/>
    <sheet name="sin cos 2(2theta） " sheetId="3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0" i="8" l="1"/>
  <c r="B49" i="8"/>
  <c r="B48" i="8"/>
  <c r="F48" i="8" s="1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H8" i="8" s="1"/>
  <c r="B7" i="8"/>
  <c r="B6" i="8"/>
  <c r="B5" i="8"/>
  <c r="B4" i="8"/>
  <c r="B3" i="8"/>
  <c r="B2" i="8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G36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F6" i="7" s="1"/>
  <c r="B5" i="7"/>
  <c r="B4" i="7"/>
  <c r="B3" i="7"/>
  <c r="B2" i="7"/>
  <c r="B50" i="5"/>
  <c r="B49" i="5"/>
  <c r="H49" i="5" s="1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B50" i="4"/>
  <c r="B49" i="4"/>
  <c r="B48" i="4"/>
  <c r="B47" i="4"/>
  <c r="H46" i="4"/>
  <c r="B46" i="4"/>
  <c r="B45" i="4"/>
  <c r="B44" i="4"/>
  <c r="B43" i="4"/>
  <c r="B42" i="4"/>
  <c r="B41" i="4"/>
  <c r="B40" i="4"/>
  <c r="B39" i="4"/>
  <c r="B38" i="4"/>
  <c r="B37" i="4"/>
  <c r="H36" i="4"/>
  <c r="B36" i="4"/>
  <c r="B35" i="4"/>
  <c r="B34" i="4"/>
  <c r="B33" i="4"/>
  <c r="B32" i="4"/>
  <c r="B31" i="4"/>
  <c r="B30" i="4"/>
  <c r="B29" i="4"/>
  <c r="E29" i="4" s="1"/>
  <c r="B28" i="4"/>
  <c r="B27" i="4"/>
  <c r="B26" i="4"/>
  <c r="B25" i="4"/>
  <c r="B24" i="4"/>
  <c r="B23" i="4"/>
  <c r="C23" i="4" s="1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H22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D10" i="3" s="1"/>
  <c r="B9" i="3"/>
  <c r="B8" i="3"/>
  <c r="B7" i="3"/>
  <c r="B6" i="3"/>
  <c r="B5" i="3"/>
  <c r="B4" i="3"/>
  <c r="B3" i="3"/>
  <c r="B2" i="3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H34" i="8" l="1"/>
  <c r="G34" i="8"/>
  <c r="F34" i="8"/>
  <c r="H7" i="4"/>
  <c r="G7" i="4"/>
  <c r="F7" i="4"/>
  <c r="E7" i="4"/>
  <c r="D23" i="2"/>
  <c r="C23" i="2"/>
  <c r="C18" i="2"/>
  <c r="D18" i="2"/>
  <c r="C15" i="2"/>
  <c r="D15" i="2"/>
  <c r="D8" i="2"/>
  <c r="C8" i="2"/>
  <c r="C50" i="8"/>
  <c r="H50" i="8"/>
  <c r="E50" i="8"/>
  <c r="D50" i="8"/>
  <c r="G50" i="8"/>
  <c r="F50" i="8"/>
  <c r="H49" i="8"/>
  <c r="C49" i="8"/>
  <c r="D49" i="8"/>
  <c r="E49" i="8"/>
  <c r="F49" i="8"/>
  <c r="G49" i="8"/>
  <c r="D48" i="8"/>
  <c r="C48" i="8"/>
  <c r="G48" i="8"/>
  <c r="E48" i="8"/>
  <c r="H48" i="8"/>
  <c r="H47" i="8"/>
  <c r="G47" i="8"/>
  <c r="E47" i="8"/>
  <c r="D47" i="8"/>
  <c r="C47" i="8"/>
  <c r="F47" i="8"/>
  <c r="H46" i="8"/>
  <c r="G46" i="8"/>
  <c r="F46" i="8"/>
  <c r="E46" i="8"/>
  <c r="D46" i="8"/>
  <c r="C46" i="8"/>
  <c r="C45" i="8"/>
  <c r="H45" i="8"/>
  <c r="G45" i="8"/>
  <c r="F45" i="8"/>
  <c r="E45" i="8"/>
  <c r="D45" i="8"/>
  <c r="F44" i="8"/>
  <c r="E44" i="8"/>
  <c r="C44" i="8"/>
  <c r="D44" i="8"/>
  <c r="H44" i="8"/>
  <c r="G44" i="8"/>
  <c r="G43" i="8"/>
  <c r="E43" i="8"/>
  <c r="C43" i="8"/>
  <c r="D43" i="8"/>
  <c r="F43" i="8"/>
  <c r="H43" i="8"/>
  <c r="H42" i="8"/>
  <c r="E42" i="8"/>
  <c r="G42" i="8"/>
  <c r="C42" i="8"/>
  <c r="D42" i="8"/>
  <c r="F42" i="8"/>
  <c r="C41" i="8"/>
  <c r="F41" i="8"/>
  <c r="H41" i="8"/>
  <c r="D41" i="8"/>
  <c r="E41" i="8"/>
  <c r="G41" i="8"/>
  <c r="F40" i="8"/>
  <c r="G40" i="8"/>
  <c r="C40" i="8"/>
  <c r="E40" i="8"/>
  <c r="D40" i="8"/>
  <c r="H40" i="8"/>
  <c r="C39" i="8"/>
  <c r="E39" i="8"/>
  <c r="G39" i="8"/>
  <c r="D39" i="8"/>
  <c r="H39" i="8"/>
  <c r="F39" i="8"/>
  <c r="H38" i="8"/>
  <c r="E38" i="8"/>
  <c r="F38" i="8"/>
  <c r="D38" i="8"/>
  <c r="G38" i="8"/>
  <c r="C38" i="8"/>
  <c r="F37" i="8"/>
  <c r="H37" i="8"/>
  <c r="E37" i="8"/>
  <c r="C37" i="8"/>
  <c r="G37" i="8"/>
  <c r="D37" i="8"/>
  <c r="D36" i="8"/>
  <c r="F36" i="8"/>
  <c r="G36" i="8"/>
  <c r="H36" i="8"/>
  <c r="C36" i="8"/>
  <c r="E36" i="8"/>
  <c r="H35" i="8"/>
  <c r="D35" i="8"/>
  <c r="F35" i="8"/>
  <c r="E35" i="8"/>
  <c r="C35" i="8"/>
  <c r="G35" i="8"/>
  <c r="E34" i="8"/>
  <c r="D34" i="8"/>
  <c r="C34" i="8"/>
  <c r="G33" i="8"/>
  <c r="F33" i="8"/>
  <c r="E33" i="8"/>
  <c r="D33" i="8"/>
  <c r="C33" i="8"/>
  <c r="H33" i="8"/>
  <c r="C32" i="8"/>
  <c r="D32" i="8"/>
  <c r="E32" i="8"/>
  <c r="F32" i="8"/>
  <c r="G32" i="8"/>
  <c r="H32" i="8"/>
  <c r="H31" i="8"/>
  <c r="G31" i="8"/>
  <c r="F31" i="8"/>
  <c r="E31" i="8"/>
  <c r="D31" i="8"/>
  <c r="C31" i="8"/>
  <c r="H30" i="8"/>
  <c r="G30" i="8"/>
  <c r="F30" i="8"/>
  <c r="E30" i="8"/>
  <c r="D30" i="8"/>
  <c r="C30" i="8"/>
  <c r="H29" i="8"/>
  <c r="G29" i="8"/>
  <c r="F29" i="8"/>
  <c r="E29" i="8"/>
  <c r="D29" i="8"/>
  <c r="C29" i="8"/>
  <c r="H28" i="8"/>
  <c r="G28" i="8"/>
  <c r="F28" i="8"/>
  <c r="E28" i="8"/>
  <c r="D28" i="8"/>
  <c r="C28" i="8"/>
  <c r="H27" i="8"/>
  <c r="G27" i="8"/>
  <c r="F27" i="8"/>
  <c r="E27" i="8"/>
  <c r="D27" i="8"/>
  <c r="C27" i="8"/>
  <c r="H26" i="8"/>
  <c r="G26" i="8"/>
  <c r="F26" i="8"/>
  <c r="E26" i="8"/>
  <c r="D26" i="8"/>
  <c r="C26" i="8"/>
  <c r="G25" i="8"/>
  <c r="F25" i="8"/>
  <c r="E25" i="8"/>
  <c r="D25" i="8"/>
  <c r="C25" i="8"/>
  <c r="H25" i="8"/>
  <c r="G24" i="8"/>
  <c r="F24" i="8"/>
  <c r="E24" i="8"/>
  <c r="D24" i="8"/>
  <c r="C24" i="8"/>
  <c r="H24" i="8"/>
  <c r="G23" i="8"/>
  <c r="F23" i="8"/>
  <c r="E23" i="8"/>
  <c r="D23" i="8"/>
  <c r="C23" i="8"/>
  <c r="H23" i="8"/>
  <c r="G22" i="8"/>
  <c r="H22" i="8"/>
  <c r="F22" i="8"/>
  <c r="C22" i="8"/>
  <c r="D22" i="8"/>
  <c r="E22" i="8"/>
  <c r="E21" i="8"/>
  <c r="D21" i="8"/>
  <c r="C21" i="8"/>
  <c r="H21" i="8"/>
  <c r="G21" i="8"/>
  <c r="F21" i="8"/>
  <c r="H20" i="8"/>
  <c r="G20" i="8"/>
  <c r="F20" i="8"/>
  <c r="E20" i="8"/>
  <c r="D20" i="8"/>
  <c r="C20" i="8"/>
  <c r="H19" i="8"/>
  <c r="G19" i="8"/>
  <c r="F19" i="8"/>
  <c r="E19" i="8"/>
  <c r="C19" i="8"/>
  <c r="D19" i="8"/>
  <c r="H18" i="8"/>
  <c r="G18" i="8"/>
  <c r="F18" i="8"/>
  <c r="E18" i="8"/>
  <c r="D18" i="8"/>
  <c r="C18" i="8"/>
  <c r="H17" i="8"/>
  <c r="G17" i="8"/>
  <c r="F17" i="8"/>
  <c r="E17" i="8"/>
  <c r="D17" i="8"/>
  <c r="C17" i="8"/>
  <c r="G16" i="8"/>
  <c r="H16" i="8"/>
  <c r="C16" i="8"/>
  <c r="D16" i="8"/>
  <c r="E16" i="8"/>
  <c r="F16" i="8"/>
  <c r="F15" i="8"/>
  <c r="H15" i="8"/>
  <c r="G15" i="8"/>
  <c r="E15" i="8"/>
  <c r="D15" i="8"/>
  <c r="C15" i="8"/>
  <c r="H14" i="8"/>
  <c r="G14" i="8"/>
  <c r="F14" i="8"/>
  <c r="E14" i="8"/>
  <c r="D14" i="8"/>
  <c r="C14" i="8"/>
  <c r="C13" i="8"/>
  <c r="D13" i="8"/>
  <c r="G13" i="8"/>
  <c r="E13" i="8"/>
  <c r="H13" i="8"/>
  <c r="F13" i="8"/>
  <c r="H12" i="8"/>
  <c r="G12" i="8"/>
  <c r="F12" i="8"/>
  <c r="E12" i="8"/>
  <c r="D12" i="8"/>
  <c r="C12" i="8"/>
  <c r="H11" i="8"/>
  <c r="G11" i="8"/>
  <c r="F11" i="8"/>
  <c r="E11" i="8"/>
  <c r="C11" i="8"/>
  <c r="D11" i="8"/>
  <c r="H10" i="8"/>
  <c r="G10" i="8"/>
  <c r="E10" i="8"/>
  <c r="D10" i="8"/>
  <c r="C10" i="8"/>
  <c r="F10" i="8"/>
  <c r="H9" i="8"/>
  <c r="G9" i="8"/>
  <c r="F9" i="8"/>
  <c r="E9" i="8"/>
  <c r="D9" i="8"/>
  <c r="C9" i="8"/>
  <c r="G8" i="8"/>
  <c r="F8" i="8"/>
  <c r="D8" i="8"/>
  <c r="C8" i="8"/>
  <c r="E8" i="8"/>
  <c r="F7" i="8"/>
  <c r="G7" i="8"/>
  <c r="H7" i="8"/>
  <c r="C7" i="8"/>
  <c r="D7" i="8"/>
  <c r="E7" i="8"/>
  <c r="H6" i="8"/>
  <c r="G6" i="8"/>
  <c r="F6" i="8"/>
  <c r="C6" i="8"/>
  <c r="D6" i="8"/>
  <c r="E6" i="8"/>
  <c r="F5" i="8"/>
  <c r="C5" i="8"/>
  <c r="D5" i="8"/>
  <c r="E5" i="8"/>
  <c r="G5" i="8"/>
  <c r="H5" i="8"/>
  <c r="H4" i="8"/>
  <c r="C4" i="8"/>
  <c r="E4" i="8"/>
  <c r="G4" i="8"/>
  <c r="D4" i="8"/>
  <c r="F4" i="8"/>
  <c r="E3" i="8"/>
  <c r="D3" i="8"/>
  <c r="C3" i="8"/>
  <c r="F3" i="8"/>
  <c r="G3" i="8"/>
  <c r="H3" i="8"/>
  <c r="G2" i="8"/>
  <c r="C2" i="8"/>
  <c r="H2" i="8"/>
  <c r="F2" i="8"/>
  <c r="D2" i="8"/>
  <c r="E2" i="8"/>
  <c r="H50" i="7"/>
  <c r="G50" i="7"/>
  <c r="F50" i="7"/>
  <c r="E50" i="7"/>
  <c r="D50" i="7"/>
  <c r="C50" i="7"/>
  <c r="H49" i="7"/>
  <c r="G49" i="7"/>
  <c r="F49" i="7"/>
  <c r="E49" i="7"/>
  <c r="D49" i="7"/>
  <c r="C49" i="7"/>
  <c r="H48" i="7"/>
  <c r="G48" i="7"/>
  <c r="F48" i="7"/>
  <c r="E48" i="7"/>
  <c r="D48" i="7"/>
  <c r="C48" i="7"/>
  <c r="H47" i="7"/>
  <c r="G47" i="7"/>
  <c r="F47" i="7"/>
  <c r="E47" i="7"/>
  <c r="D47" i="7"/>
  <c r="C47" i="7"/>
  <c r="H46" i="7"/>
  <c r="G46" i="7"/>
  <c r="F46" i="7"/>
  <c r="E46" i="7"/>
  <c r="D46" i="7"/>
  <c r="C46" i="7"/>
  <c r="H45" i="7"/>
  <c r="G45" i="7"/>
  <c r="F45" i="7"/>
  <c r="E45" i="7"/>
  <c r="D45" i="7"/>
  <c r="C45" i="7"/>
  <c r="H44" i="7"/>
  <c r="G44" i="7"/>
  <c r="F44" i="7"/>
  <c r="E44" i="7"/>
  <c r="D44" i="7"/>
  <c r="C44" i="7"/>
  <c r="H43" i="7"/>
  <c r="G43" i="7"/>
  <c r="F43" i="7"/>
  <c r="E43" i="7"/>
  <c r="D43" i="7"/>
  <c r="C43" i="7"/>
  <c r="H42" i="7"/>
  <c r="G42" i="7"/>
  <c r="F42" i="7"/>
  <c r="E42" i="7"/>
  <c r="D42" i="7"/>
  <c r="C42" i="7"/>
  <c r="H41" i="7"/>
  <c r="G41" i="7"/>
  <c r="F41" i="7"/>
  <c r="E41" i="7"/>
  <c r="D41" i="7"/>
  <c r="C41" i="7"/>
  <c r="H40" i="7"/>
  <c r="G40" i="7"/>
  <c r="F40" i="7"/>
  <c r="E40" i="7"/>
  <c r="D40" i="7"/>
  <c r="C40" i="7"/>
  <c r="H39" i="7"/>
  <c r="G39" i="7"/>
  <c r="F39" i="7"/>
  <c r="E39" i="7"/>
  <c r="D39" i="7"/>
  <c r="C39" i="7"/>
  <c r="H38" i="7"/>
  <c r="G38" i="7"/>
  <c r="F38" i="7"/>
  <c r="E38" i="7"/>
  <c r="D38" i="7"/>
  <c r="C38" i="7"/>
  <c r="H37" i="7"/>
  <c r="G37" i="7"/>
  <c r="F37" i="7"/>
  <c r="E37" i="7"/>
  <c r="D37" i="7"/>
  <c r="C37" i="7"/>
  <c r="H36" i="7"/>
  <c r="D36" i="7"/>
  <c r="C36" i="7"/>
  <c r="F36" i="7"/>
  <c r="E36" i="7"/>
  <c r="D35" i="7"/>
  <c r="H35" i="7"/>
  <c r="C35" i="7"/>
  <c r="F35" i="7"/>
  <c r="G35" i="7"/>
  <c r="E35" i="7"/>
  <c r="H34" i="7"/>
  <c r="G34" i="7"/>
  <c r="F34" i="7"/>
  <c r="E34" i="7"/>
  <c r="D34" i="7"/>
  <c r="C34" i="7"/>
  <c r="C33" i="7"/>
  <c r="E33" i="7"/>
  <c r="F33" i="7"/>
  <c r="G33" i="7"/>
  <c r="H33" i="7"/>
  <c r="D33" i="7"/>
  <c r="D32" i="7"/>
  <c r="C32" i="7"/>
  <c r="H32" i="7"/>
  <c r="G32" i="7"/>
  <c r="F32" i="7"/>
  <c r="E32" i="7"/>
  <c r="F31" i="7"/>
  <c r="E31" i="7"/>
  <c r="C31" i="7"/>
  <c r="D31" i="7"/>
  <c r="H31" i="7"/>
  <c r="G31" i="7"/>
  <c r="C30" i="7"/>
  <c r="D30" i="7"/>
  <c r="E30" i="7"/>
  <c r="F30" i="7"/>
  <c r="G30" i="7"/>
  <c r="H30" i="7"/>
  <c r="D29" i="7"/>
  <c r="C29" i="7"/>
  <c r="G29" i="7"/>
  <c r="H29" i="7"/>
  <c r="F29" i="7"/>
  <c r="E29" i="7"/>
  <c r="H28" i="7"/>
  <c r="G28" i="7"/>
  <c r="F28" i="7"/>
  <c r="E28" i="7"/>
  <c r="D28" i="7"/>
  <c r="C28" i="7"/>
  <c r="H27" i="7"/>
  <c r="G27" i="7"/>
  <c r="F27" i="7"/>
  <c r="E27" i="7"/>
  <c r="D27" i="7"/>
  <c r="C27" i="7"/>
  <c r="C26" i="7"/>
  <c r="E26" i="7"/>
  <c r="H26" i="7"/>
  <c r="G26" i="7"/>
  <c r="D26" i="7"/>
  <c r="F26" i="7"/>
  <c r="D25" i="7"/>
  <c r="C25" i="7"/>
  <c r="H25" i="7"/>
  <c r="G25" i="7"/>
  <c r="F25" i="7"/>
  <c r="E25" i="7"/>
  <c r="D24" i="7"/>
  <c r="C24" i="7"/>
  <c r="H24" i="7"/>
  <c r="G24" i="7"/>
  <c r="F24" i="7"/>
  <c r="E24" i="7"/>
  <c r="C23" i="7"/>
  <c r="D23" i="7"/>
  <c r="E23" i="7"/>
  <c r="F23" i="7"/>
  <c r="G23" i="7"/>
  <c r="H23" i="7"/>
  <c r="D22" i="7"/>
  <c r="C22" i="7"/>
  <c r="F22" i="7"/>
  <c r="E22" i="7"/>
  <c r="G22" i="7"/>
  <c r="H22" i="7"/>
  <c r="H21" i="7"/>
  <c r="G21" i="7"/>
  <c r="F21" i="7"/>
  <c r="E21" i="7"/>
  <c r="D21" i="7"/>
  <c r="C21" i="7"/>
  <c r="H20" i="7"/>
  <c r="F20" i="7"/>
  <c r="E20" i="7"/>
  <c r="D20" i="7"/>
  <c r="C20" i="7"/>
  <c r="G20" i="7"/>
  <c r="H19" i="7"/>
  <c r="G19" i="7"/>
  <c r="F19" i="7"/>
  <c r="E19" i="7"/>
  <c r="D19" i="7"/>
  <c r="C19" i="7"/>
  <c r="H18" i="7"/>
  <c r="G18" i="7"/>
  <c r="F18" i="7"/>
  <c r="E18" i="7"/>
  <c r="D18" i="7"/>
  <c r="C18" i="7"/>
  <c r="H17" i="7"/>
  <c r="C17" i="7"/>
  <c r="D17" i="7"/>
  <c r="E17" i="7"/>
  <c r="F17" i="7"/>
  <c r="G17" i="7"/>
  <c r="C16" i="7"/>
  <c r="E16" i="7"/>
  <c r="H16" i="7"/>
  <c r="D16" i="7"/>
  <c r="F16" i="7"/>
  <c r="G16" i="7"/>
  <c r="H15" i="7"/>
  <c r="G15" i="7"/>
  <c r="F15" i="7"/>
  <c r="E15" i="7"/>
  <c r="D15" i="7"/>
  <c r="C15" i="7"/>
  <c r="D14" i="7"/>
  <c r="C14" i="7"/>
  <c r="H14" i="7"/>
  <c r="G14" i="7"/>
  <c r="F14" i="7"/>
  <c r="E14" i="7"/>
  <c r="F13" i="7"/>
  <c r="H13" i="7"/>
  <c r="D13" i="7"/>
  <c r="E13" i="7"/>
  <c r="C13" i="7"/>
  <c r="G13" i="7"/>
  <c r="D12" i="7"/>
  <c r="C12" i="7"/>
  <c r="H12" i="7"/>
  <c r="G12" i="7"/>
  <c r="F12" i="7"/>
  <c r="E12" i="7"/>
  <c r="D11" i="7"/>
  <c r="C11" i="7"/>
  <c r="H11" i="7"/>
  <c r="G11" i="7"/>
  <c r="F11" i="7"/>
  <c r="E11" i="7"/>
  <c r="F10" i="7"/>
  <c r="E10" i="7"/>
  <c r="D10" i="7"/>
  <c r="C10" i="7"/>
  <c r="H10" i="7"/>
  <c r="G10" i="7"/>
  <c r="D9" i="7"/>
  <c r="C9" i="7"/>
  <c r="E9" i="7"/>
  <c r="F9" i="7"/>
  <c r="G9" i="7"/>
  <c r="H9" i="7"/>
  <c r="H8" i="7"/>
  <c r="G8" i="7"/>
  <c r="F8" i="7"/>
  <c r="E8" i="7"/>
  <c r="D8" i="7"/>
  <c r="C8" i="7"/>
  <c r="H7" i="7"/>
  <c r="G7" i="7"/>
  <c r="F7" i="7"/>
  <c r="E7" i="7"/>
  <c r="D7" i="7"/>
  <c r="C7" i="7"/>
  <c r="H6" i="7"/>
  <c r="G6" i="7"/>
  <c r="E6" i="7"/>
  <c r="D6" i="7"/>
  <c r="C6" i="7"/>
  <c r="G5" i="7"/>
  <c r="H5" i="7"/>
  <c r="F5" i="7"/>
  <c r="E5" i="7"/>
  <c r="D5" i="7"/>
  <c r="C5" i="7"/>
  <c r="H4" i="7"/>
  <c r="G4" i="7"/>
  <c r="F4" i="7"/>
  <c r="E4" i="7"/>
  <c r="D4" i="7"/>
  <c r="C4" i="7"/>
  <c r="C3" i="7"/>
  <c r="H3" i="7"/>
  <c r="G3" i="7"/>
  <c r="F3" i="7"/>
  <c r="E3" i="7"/>
  <c r="D3" i="7"/>
  <c r="F2" i="7"/>
  <c r="G2" i="7"/>
  <c r="C2" i="7"/>
  <c r="E2" i="7"/>
  <c r="D2" i="7"/>
  <c r="H2" i="7"/>
  <c r="D50" i="5"/>
  <c r="H50" i="5"/>
  <c r="G50" i="5"/>
  <c r="F50" i="5"/>
  <c r="E50" i="5"/>
  <c r="C50" i="5"/>
  <c r="G49" i="5"/>
  <c r="F49" i="5"/>
  <c r="E49" i="5"/>
  <c r="D49" i="5"/>
  <c r="C49" i="5"/>
  <c r="G48" i="5"/>
  <c r="F48" i="5"/>
  <c r="E48" i="5"/>
  <c r="C48" i="5"/>
  <c r="D48" i="5"/>
  <c r="H48" i="5"/>
  <c r="H47" i="5"/>
  <c r="G47" i="5"/>
  <c r="F47" i="5"/>
  <c r="E47" i="5"/>
  <c r="D47" i="5"/>
  <c r="C47" i="5"/>
  <c r="C46" i="5"/>
  <c r="H46" i="5"/>
  <c r="G46" i="5"/>
  <c r="F46" i="5"/>
  <c r="E46" i="5"/>
  <c r="D46" i="5"/>
  <c r="H45" i="5"/>
  <c r="C45" i="5"/>
  <c r="E45" i="5"/>
  <c r="F45" i="5"/>
  <c r="G45" i="5"/>
  <c r="D45" i="5"/>
  <c r="H44" i="5"/>
  <c r="F44" i="5"/>
  <c r="E44" i="5"/>
  <c r="D44" i="5"/>
  <c r="C44" i="5"/>
  <c r="G44" i="5"/>
  <c r="G43" i="5"/>
  <c r="H43" i="5"/>
  <c r="E43" i="5"/>
  <c r="D43" i="5"/>
  <c r="C43" i="5"/>
  <c r="F43" i="5"/>
  <c r="G42" i="5"/>
  <c r="H42" i="5"/>
  <c r="C42" i="5"/>
  <c r="D42" i="5"/>
  <c r="E42" i="5"/>
  <c r="F42" i="5"/>
  <c r="C41" i="5"/>
  <c r="H41" i="5"/>
  <c r="G41" i="5"/>
  <c r="F41" i="5"/>
  <c r="E41" i="5"/>
  <c r="D41" i="5"/>
  <c r="C40" i="5"/>
  <c r="D40" i="5"/>
  <c r="E40" i="5"/>
  <c r="F40" i="5"/>
  <c r="G40" i="5"/>
  <c r="H40" i="5"/>
  <c r="H39" i="5"/>
  <c r="C39" i="5"/>
  <c r="D39" i="5"/>
  <c r="E39" i="5"/>
  <c r="F39" i="5"/>
  <c r="G39" i="5"/>
  <c r="H38" i="5"/>
  <c r="G38" i="5"/>
  <c r="F38" i="5"/>
  <c r="E38" i="5"/>
  <c r="C38" i="5"/>
  <c r="D38" i="5"/>
  <c r="G37" i="5"/>
  <c r="H37" i="5"/>
  <c r="C37" i="5"/>
  <c r="D37" i="5"/>
  <c r="E37" i="5"/>
  <c r="F37" i="5"/>
  <c r="D36" i="5"/>
  <c r="E36" i="5"/>
  <c r="F36" i="5"/>
  <c r="G36" i="5"/>
  <c r="H36" i="5"/>
  <c r="C36" i="5"/>
  <c r="F35" i="5"/>
  <c r="G35" i="5"/>
  <c r="H35" i="5"/>
  <c r="C35" i="5"/>
  <c r="D35" i="5"/>
  <c r="E35" i="5"/>
  <c r="H34" i="5"/>
  <c r="G34" i="5"/>
  <c r="F34" i="5"/>
  <c r="E34" i="5"/>
  <c r="D34" i="5"/>
  <c r="C34" i="5"/>
  <c r="H33" i="5"/>
  <c r="G33" i="5"/>
  <c r="F33" i="5"/>
  <c r="E33" i="5"/>
  <c r="D33" i="5"/>
  <c r="C33" i="5"/>
  <c r="H32" i="5"/>
  <c r="G32" i="5"/>
  <c r="F32" i="5"/>
  <c r="E32" i="5"/>
  <c r="D32" i="5"/>
  <c r="C32" i="5"/>
  <c r="H31" i="5"/>
  <c r="G31" i="5"/>
  <c r="F31" i="5"/>
  <c r="E31" i="5"/>
  <c r="D31" i="5"/>
  <c r="C31" i="5"/>
  <c r="H30" i="5"/>
  <c r="G30" i="5"/>
  <c r="F30" i="5"/>
  <c r="E30" i="5"/>
  <c r="D30" i="5"/>
  <c r="C30" i="5"/>
  <c r="H29" i="5"/>
  <c r="G29" i="5"/>
  <c r="F29" i="5"/>
  <c r="E29" i="5"/>
  <c r="D29" i="5"/>
  <c r="C29" i="5"/>
  <c r="H28" i="5"/>
  <c r="G28" i="5"/>
  <c r="F28" i="5"/>
  <c r="E28" i="5"/>
  <c r="D28" i="5"/>
  <c r="C28" i="5"/>
  <c r="H27" i="5"/>
  <c r="G27" i="5"/>
  <c r="F27" i="5"/>
  <c r="E27" i="5"/>
  <c r="D27" i="5"/>
  <c r="C27" i="5"/>
  <c r="H26" i="5"/>
  <c r="G26" i="5"/>
  <c r="F26" i="5"/>
  <c r="E26" i="5"/>
  <c r="D26" i="5"/>
  <c r="C26" i="5"/>
  <c r="D25" i="5"/>
  <c r="H25" i="5"/>
  <c r="G25" i="5"/>
  <c r="F25" i="5"/>
  <c r="E25" i="5"/>
  <c r="C25" i="5"/>
  <c r="H24" i="5"/>
  <c r="G24" i="5"/>
  <c r="F24" i="5"/>
  <c r="E24" i="5"/>
  <c r="D24" i="5"/>
  <c r="C24" i="5"/>
  <c r="C23" i="5"/>
  <c r="E23" i="5"/>
  <c r="D23" i="5"/>
  <c r="H23" i="5"/>
  <c r="G23" i="5"/>
  <c r="F23" i="5"/>
  <c r="G22" i="5"/>
  <c r="H22" i="5"/>
  <c r="E22" i="5"/>
  <c r="F22" i="5"/>
  <c r="D22" i="5"/>
  <c r="C22" i="5"/>
  <c r="H21" i="5"/>
  <c r="G21" i="5"/>
  <c r="F21" i="5"/>
  <c r="E21" i="5"/>
  <c r="D21" i="5"/>
  <c r="C21" i="5"/>
  <c r="G20" i="5"/>
  <c r="H20" i="5"/>
  <c r="F20" i="5"/>
  <c r="E20" i="5"/>
  <c r="D20" i="5"/>
  <c r="C20" i="5"/>
  <c r="E19" i="5"/>
  <c r="C19" i="5"/>
  <c r="D19" i="5"/>
  <c r="F19" i="5"/>
  <c r="G19" i="5"/>
  <c r="H19" i="5"/>
  <c r="F18" i="5"/>
  <c r="C18" i="5"/>
  <c r="D18" i="5"/>
  <c r="E18" i="5"/>
  <c r="G18" i="5"/>
  <c r="H18" i="5"/>
  <c r="H17" i="5"/>
  <c r="G17" i="5"/>
  <c r="F17" i="5"/>
  <c r="E17" i="5"/>
  <c r="D17" i="5"/>
  <c r="C17" i="5"/>
  <c r="G16" i="5"/>
  <c r="F16" i="5"/>
  <c r="E16" i="5"/>
  <c r="D16" i="5"/>
  <c r="C16" i="5"/>
  <c r="H16" i="5"/>
  <c r="F15" i="5"/>
  <c r="E15" i="5"/>
  <c r="D15" i="5"/>
  <c r="C15" i="5"/>
  <c r="H15" i="5"/>
  <c r="G15" i="5"/>
  <c r="H14" i="5"/>
  <c r="G14" i="5"/>
  <c r="E14" i="5"/>
  <c r="D14" i="5"/>
  <c r="C14" i="5"/>
  <c r="F14" i="5"/>
  <c r="E13" i="5"/>
  <c r="C13" i="5"/>
  <c r="D13" i="5"/>
  <c r="F13" i="5"/>
  <c r="G13" i="5"/>
  <c r="H13" i="5"/>
  <c r="C12" i="5"/>
  <c r="D12" i="5"/>
  <c r="E12" i="5"/>
  <c r="F12" i="5"/>
  <c r="H12" i="5"/>
  <c r="G12" i="5"/>
  <c r="G11" i="5"/>
  <c r="F11" i="5"/>
  <c r="E11" i="5"/>
  <c r="D11" i="5"/>
  <c r="H11" i="5"/>
  <c r="C11" i="5"/>
  <c r="C10" i="5"/>
  <c r="D10" i="5"/>
  <c r="E10" i="5"/>
  <c r="F10" i="5"/>
  <c r="G10" i="5"/>
  <c r="H10" i="5"/>
  <c r="C9" i="5"/>
  <c r="F9" i="5"/>
  <c r="G9" i="5"/>
  <c r="H9" i="5"/>
  <c r="D9" i="5"/>
  <c r="E9" i="5"/>
  <c r="F8" i="5"/>
  <c r="C8" i="5"/>
  <c r="E8" i="5"/>
  <c r="G8" i="5"/>
  <c r="H8" i="5"/>
  <c r="D8" i="5"/>
  <c r="D7" i="5"/>
  <c r="F7" i="5"/>
  <c r="G7" i="5"/>
  <c r="H7" i="5"/>
  <c r="C7" i="5"/>
  <c r="E7" i="5"/>
  <c r="C6" i="5"/>
  <c r="D6" i="5"/>
  <c r="E6" i="5"/>
  <c r="G6" i="5"/>
  <c r="H6" i="5"/>
  <c r="F6" i="5"/>
  <c r="C5" i="5"/>
  <c r="E5" i="5"/>
  <c r="F5" i="5"/>
  <c r="G5" i="5"/>
  <c r="H5" i="5"/>
  <c r="D5" i="5"/>
  <c r="C4" i="5"/>
  <c r="D4" i="5"/>
  <c r="E4" i="5"/>
  <c r="F4" i="5"/>
  <c r="G4" i="5"/>
  <c r="H4" i="5"/>
  <c r="H3" i="5"/>
  <c r="C3" i="5"/>
  <c r="D3" i="5"/>
  <c r="F3" i="5"/>
  <c r="G3" i="5"/>
  <c r="E3" i="5"/>
  <c r="C2" i="5"/>
  <c r="D2" i="5"/>
  <c r="E2" i="5"/>
  <c r="F2" i="5"/>
  <c r="G2" i="5"/>
  <c r="H2" i="5"/>
  <c r="G50" i="4"/>
  <c r="H50" i="4"/>
  <c r="F50" i="4"/>
  <c r="C50" i="4"/>
  <c r="D50" i="4"/>
  <c r="E50" i="4"/>
  <c r="D49" i="4"/>
  <c r="F49" i="4"/>
  <c r="E49" i="4"/>
  <c r="C49" i="4"/>
  <c r="G49" i="4"/>
  <c r="H49" i="4"/>
  <c r="G48" i="4"/>
  <c r="E48" i="4"/>
  <c r="D48" i="4"/>
  <c r="C48" i="4"/>
  <c r="H48" i="4"/>
  <c r="F48" i="4"/>
  <c r="E47" i="4"/>
  <c r="G47" i="4"/>
  <c r="F47" i="4"/>
  <c r="C47" i="4"/>
  <c r="D47" i="4"/>
  <c r="H47" i="4"/>
  <c r="G46" i="4"/>
  <c r="E46" i="4"/>
  <c r="D46" i="4"/>
  <c r="C46" i="4"/>
  <c r="F46" i="4"/>
  <c r="E45" i="4"/>
  <c r="D45" i="4"/>
  <c r="C45" i="4"/>
  <c r="F45" i="4"/>
  <c r="H45" i="4"/>
  <c r="G45" i="4"/>
  <c r="C44" i="4"/>
  <c r="E44" i="4"/>
  <c r="F44" i="4"/>
  <c r="H44" i="4"/>
  <c r="G44" i="4"/>
  <c r="D44" i="4"/>
  <c r="F43" i="4"/>
  <c r="H43" i="4"/>
  <c r="G43" i="4"/>
  <c r="E43" i="4"/>
  <c r="D43" i="4"/>
  <c r="C43" i="4"/>
  <c r="C42" i="4"/>
  <c r="H42" i="4"/>
  <c r="E42" i="4"/>
  <c r="G42" i="4"/>
  <c r="D42" i="4"/>
  <c r="F42" i="4"/>
  <c r="E41" i="4"/>
  <c r="C41" i="4"/>
  <c r="F41" i="4"/>
  <c r="G41" i="4"/>
  <c r="H41" i="4"/>
  <c r="D41" i="4"/>
  <c r="F40" i="4"/>
  <c r="H40" i="4"/>
  <c r="C40" i="4"/>
  <c r="E40" i="4"/>
  <c r="G40" i="4"/>
  <c r="D40" i="4"/>
  <c r="C39" i="4"/>
  <c r="E39" i="4"/>
  <c r="D39" i="4"/>
  <c r="F39" i="4"/>
  <c r="G39" i="4"/>
  <c r="H39" i="4"/>
  <c r="G38" i="4"/>
  <c r="E38" i="4"/>
  <c r="F38" i="4"/>
  <c r="D38" i="4"/>
  <c r="H38" i="4"/>
  <c r="C38" i="4"/>
  <c r="F37" i="4"/>
  <c r="C37" i="4"/>
  <c r="H37" i="4"/>
  <c r="E37" i="4"/>
  <c r="G37" i="4"/>
  <c r="D37" i="4"/>
  <c r="G36" i="4"/>
  <c r="D36" i="4"/>
  <c r="C36" i="4"/>
  <c r="F36" i="4"/>
  <c r="E36" i="4"/>
  <c r="F35" i="4"/>
  <c r="C35" i="4"/>
  <c r="E35" i="4"/>
  <c r="H35" i="4"/>
  <c r="G35" i="4"/>
  <c r="D35" i="4"/>
  <c r="F34" i="4"/>
  <c r="D34" i="4"/>
  <c r="H34" i="4"/>
  <c r="E34" i="4"/>
  <c r="G34" i="4"/>
  <c r="C34" i="4"/>
  <c r="C33" i="4"/>
  <c r="E33" i="4"/>
  <c r="F33" i="4"/>
  <c r="D33" i="4"/>
  <c r="H33" i="4"/>
  <c r="G33" i="4"/>
  <c r="H32" i="4"/>
  <c r="E32" i="4"/>
  <c r="D32" i="4"/>
  <c r="F32" i="4"/>
  <c r="G32" i="4"/>
  <c r="C32" i="4"/>
  <c r="C31" i="4"/>
  <c r="D31" i="4"/>
  <c r="F31" i="4"/>
  <c r="E31" i="4"/>
  <c r="H31" i="4"/>
  <c r="G31" i="4"/>
  <c r="G30" i="4"/>
  <c r="H30" i="4"/>
  <c r="E30" i="4"/>
  <c r="F30" i="4"/>
  <c r="D30" i="4"/>
  <c r="C30" i="4"/>
  <c r="H29" i="4"/>
  <c r="D29" i="4"/>
  <c r="C29" i="4"/>
  <c r="G29" i="4"/>
  <c r="F29" i="4"/>
  <c r="E28" i="4"/>
  <c r="H28" i="4"/>
  <c r="G28" i="4"/>
  <c r="D28" i="4"/>
  <c r="C28" i="4"/>
  <c r="F28" i="4"/>
  <c r="F27" i="4"/>
  <c r="H27" i="4"/>
  <c r="E27" i="4"/>
  <c r="G27" i="4"/>
  <c r="C27" i="4"/>
  <c r="D27" i="4"/>
  <c r="G26" i="4"/>
  <c r="E26" i="4"/>
  <c r="C26" i="4"/>
  <c r="D26" i="4"/>
  <c r="H26" i="4"/>
  <c r="F26" i="4"/>
  <c r="C25" i="4"/>
  <c r="E25" i="4"/>
  <c r="H25" i="4"/>
  <c r="D25" i="4"/>
  <c r="F25" i="4"/>
  <c r="G25" i="4"/>
  <c r="E24" i="4"/>
  <c r="H24" i="4"/>
  <c r="F24" i="4"/>
  <c r="G24" i="4"/>
  <c r="C24" i="4"/>
  <c r="D24" i="4"/>
  <c r="E23" i="4"/>
  <c r="G23" i="4"/>
  <c r="D23" i="4"/>
  <c r="H23" i="4"/>
  <c r="F23" i="4"/>
  <c r="H22" i="4"/>
  <c r="G22" i="4"/>
  <c r="F22" i="4"/>
  <c r="D22" i="4"/>
  <c r="E22" i="4"/>
  <c r="C22" i="4"/>
  <c r="H21" i="4"/>
  <c r="G21" i="4"/>
  <c r="F21" i="4"/>
  <c r="E21" i="4"/>
  <c r="C21" i="4"/>
  <c r="D21" i="4"/>
  <c r="C20" i="4"/>
  <c r="D20" i="4"/>
  <c r="E20" i="4"/>
  <c r="G20" i="4"/>
  <c r="H20" i="4"/>
  <c r="F20" i="4"/>
  <c r="F19" i="4"/>
  <c r="E19" i="4"/>
  <c r="D19" i="4"/>
  <c r="C19" i="4"/>
  <c r="H19" i="4"/>
  <c r="G19" i="4"/>
  <c r="D18" i="4"/>
  <c r="H18" i="4"/>
  <c r="G18" i="4"/>
  <c r="F18" i="4"/>
  <c r="E18" i="4"/>
  <c r="C18" i="4"/>
  <c r="H17" i="4"/>
  <c r="G17" i="4"/>
  <c r="F17" i="4"/>
  <c r="C17" i="4"/>
  <c r="E17" i="4"/>
  <c r="D17" i="4"/>
  <c r="H16" i="4"/>
  <c r="C16" i="4"/>
  <c r="D16" i="4"/>
  <c r="E16" i="4"/>
  <c r="F16" i="4"/>
  <c r="G16" i="4"/>
  <c r="G15" i="4"/>
  <c r="H15" i="4"/>
  <c r="C15" i="4"/>
  <c r="D15" i="4"/>
  <c r="E15" i="4"/>
  <c r="F15" i="4"/>
  <c r="D14" i="4"/>
  <c r="H14" i="4"/>
  <c r="G14" i="4"/>
  <c r="F14" i="4"/>
  <c r="E14" i="4"/>
  <c r="C14" i="4"/>
  <c r="C13" i="4"/>
  <c r="E13" i="4"/>
  <c r="H13" i="4"/>
  <c r="G13" i="4"/>
  <c r="F13" i="4"/>
  <c r="D13" i="4"/>
  <c r="H12" i="4"/>
  <c r="G12" i="4"/>
  <c r="F12" i="4"/>
  <c r="E12" i="4"/>
  <c r="D12" i="4"/>
  <c r="C12" i="4"/>
  <c r="C11" i="4"/>
  <c r="H11" i="4"/>
  <c r="G11" i="4"/>
  <c r="F11" i="4"/>
  <c r="E11" i="4"/>
  <c r="D11" i="4"/>
  <c r="D10" i="4"/>
  <c r="G10" i="4"/>
  <c r="H10" i="4"/>
  <c r="F10" i="4"/>
  <c r="E10" i="4"/>
  <c r="C10" i="4"/>
  <c r="H9" i="4"/>
  <c r="G9" i="4"/>
  <c r="F9" i="4"/>
  <c r="E9" i="4"/>
  <c r="D9" i="4"/>
  <c r="C9" i="4"/>
  <c r="G8" i="4"/>
  <c r="F8" i="4"/>
  <c r="E8" i="4"/>
  <c r="C8" i="4"/>
  <c r="D8" i="4"/>
  <c r="H8" i="4"/>
  <c r="C7" i="4"/>
  <c r="D7" i="4"/>
  <c r="G6" i="4"/>
  <c r="C6" i="4"/>
  <c r="D6" i="4"/>
  <c r="E6" i="4"/>
  <c r="F6" i="4"/>
  <c r="H6" i="4"/>
  <c r="D5" i="4"/>
  <c r="G5" i="4"/>
  <c r="C5" i="4"/>
  <c r="H5" i="4"/>
  <c r="F5" i="4"/>
  <c r="E5" i="4"/>
  <c r="C4" i="4"/>
  <c r="D4" i="4"/>
  <c r="H4" i="4"/>
  <c r="G4" i="4"/>
  <c r="F4" i="4"/>
  <c r="E4" i="4"/>
  <c r="H3" i="4"/>
  <c r="C3" i="4"/>
  <c r="E3" i="4"/>
  <c r="F3" i="4"/>
  <c r="G3" i="4"/>
  <c r="D3" i="4"/>
  <c r="F2" i="4"/>
  <c r="H2" i="4"/>
  <c r="G2" i="4"/>
  <c r="C2" i="4"/>
  <c r="D2" i="4"/>
  <c r="E2" i="4"/>
  <c r="H50" i="3"/>
  <c r="G50" i="3"/>
  <c r="F50" i="3"/>
  <c r="E50" i="3"/>
  <c r="D50" i="3"/>
  <c r="C50" i="3"/>
  <c r="H49" i="3"/>
  <c r="G49" i="3"/>
  <c r="F49" i="3"/>
  <c r="E49" i="3"/>
  <c r="D49" i="3"/>
  <c r="C49" i="3"/>
  <c r="H48" i="3"/>
  <c r="G48" i="3"/>
  <c r="F48" i="3"/>
  <c r="E48" i="3"/>
  <c r="D48" i="3"/>
  <c r="C48" i="3"/>
  <c r="H47" i="3"/>
  <c r="G47" i="3"/>
  <c r="F47" i="3"/>
  <c r="E47" i="3"/>
  <c r="D47" i="3"/>
  <c r="C47" i="3"/>
  <c r="H46" i="3"/>
  <c r="G46" i="3"/>
  <c r="F46" i="3"/>
  <c r="E46" i="3"/>
  <c r="D46" i="3"/>
  <c r="C46" i="3"/>
  <c r="H45" i="3"/>
  <c r="G45" i="3"/>
  <c r="F45" i="3"/>
  <c r="E45" i="3"/>
  <c r="D45" i="3"/>
  <c r="C45" i="3"/>
  <c r="H44" i="3"/>
  <c r="G44" i="3"/>
  <c r="F44" i="3"/>
  <c r="E44" i="3"/>
  <c r="D44" i="3"/>
  <c r="C44" i="3"/>
  <c r="H43" i="3"/>
  <c r="G43" i="3"/>
  <c r="F43" i="3"/>
  <c r="E43" i="3"/>
  <c r="D43" i="3"/>
  <c r="C43" i="3"/>
  <c r="H42" i="3"/>
  <c r="G42" i="3"/>
  <c r="F42" i="3"/>
  <c r="E42" i="3"/>
  <c r="D42" i="3"/>
  <c r="C42" i="3"/>
  <c r="H41" i="3"/>
  <c r="G41" i="3"/>
  <c r="F41" i="3"/>
  <c r="E41" i="3"/>
  <c r="D41" i="3"/>
  <c r="C41" i="3"/>
  <c r="H40" i="3"/>
  <c r="G40" i="3"/>
  <c r="F40" i="3"/>
  <c r="E40" i="3"/>
  <c r="D40" i="3"/>
  <c r="C40" i="3"/>
  <c r="H39" i="3"/>
  <c r="G39" i="3"/>
  <c r="F39" i="3"/>
  <c r="E39" i="3"/>
  <c r="D39" i="3"/>
  <c r="C39" i="3"/>
  <c r="H38" i="3"/>
  <c r="G38" i="3"/>
  <c r="F38" i="3"/>
  <c r="E38" i="3"/>
  <c r="D38" i="3"/>
  <c r="C38" i="3"/>
  <c r="H37" i="3"/>
  <c r="G37" i="3"/>
  <c r="F37" i="3"/>
  <c r="E37" i="3"/>
  <c r="D37" i="3"/>
  <c r="C37" i="3"/>
  <c r="H36" i="3"/>
  <c r="G36" i="3"/>
  <c r="F36" i="3"/>
  <c r="E36" i="3"/>
  <c r="D36" i="3"/>
  <c r="C36" i="3"/>
  <c r="H35" i="3"/>
  <c r="G35" i="3"/>
  <c r="F35" i="3"/>
  <c r="E35" i="3"/>
  <c r="D35" i="3"/>
  <c r="C35" i="3"/>
  <c r="H34" i="3"/>
  <c r="G34" i="3"/>
  <c r="F34" i="3"/>
  <c r="E34" i="3"/>
  <c r="D34" i="3"/>
  <c r="C34" i="3"/>
  <c r="H33" i="3"/>
  <c r="G33" i="3"/>
  <c r="F33" i="3"/>
  <c r="E33" i="3"/>
  <c r="D33" i="3"/>
  <c r="C33" i="3"/>
  <c r="H32" i="3"/>
  <c r="G32" i="3"/>
  <c r="F32" i="3"/>
  <c r="E32" i="3"/>
  <c r="D32" i="3"/>
  <c r="C32" i="3"/>
  <c r="H31" i="3"/>
  <c r="G31" i="3"/>
  <c r="F31" i="3"/>
  <c r="E31" i="3"/>
  <c r="D31" i="3"/>
  <c r="C31" i="3"/>
  <c r="H30" i="3"/>
  <c r="G30" i="3"/>
  <c r="F30" i="3"/>
  <c r="E30" i="3"/>
  <c r="D30" i="3"/>
  <c r="C30" i="3"/>
  <c r="H29" i="3"/>
  <c r="G29" i="3"/>
  <c r="F29" i="3"/>
  <c r="E29" i="3"/>
  <c r="D29" i="3"/>
  <c r="C29" i="3"/>
  <c r="H28" i="3"/>
  <c r="G28" i="3"/>
  <c r="F28" i="3"/>
  <c r="E28" i="3"/>
  <c r="D28" i="3"/>
  <c r="C28" i="3"/>
  <c r="H27" i="3"/>
  <c r="G27" i="3"/>
  <c r="F27" i="3"/>
  <c r="E27" i="3"/>
  <c r="D27" i="3"/>
  <c r="C27" i="3"/>
  <c r="H26" i="3"/>
  <c r="G26" i="3"/>
  <c r="F26" i="3"/>
  <c r="E26" i="3"/>
  <c r="D26" i="3"/>
  <c r="C26" i="3"/>
  <c r="H25" i="3"/>
  <c r="G25" i="3"/>
  <c r="F25" i="3"/>
  <c r="E25" i="3"/>
  <c r="D25" i="3"/>
  <c r="C25" i="3"/>
  <c r="H24" i="3"/>
  <c r="G24" i="3"/>
  <c r="F24" i="3"/>
  <c r="E24" i="3"/>
  <c r="D24" i="3"/>
  <c r="C24" i="3"/>
  <c r="H23" i="3"/>
  <c r="G23" i="3"/>
  <c r="F23" i="3"/>
  <c r="E23" i="3"/>
  <c r="D23" i="3"/>
  <c r="C23" i="3"/>
  <c r="G22" i="3"/>
  <c r="F22" i="3"/>
  <c r="E22" i="3"/>
  <c r="D22" i="3"/>
  <c r="C22" i="3"/>
  <c r="H21" i="3"/>
  <c r="G21" i="3"/>
  <c r="F21" i="3"/>
  <c r="C21" i="3"/>
  <c r="D21" i="3"/>
  <c r="E21" i="3"/>
  <c r="C20" i="3"/>
  <c r="D20" i="3"/>
  <c r="E20" i="3"/>
  <c r="F20" i="3"/>
  <c r="G20" i="3"/>
  <c r="H20" i="3"/>
  <c r="C19" i="3"/>
  <c r="D19" i="3"/>
  <c r="E19" i="3"/>
  <c r="F19" i="3"/>
  <c r="G19" i="3"/>
  <c r="H19" i="3"/>
  <c r="G18" i="3"/>
  <c r="H18" i="3"/>
  <c r="F18" i="3"/>
  <c r="E18" i="3"/>
  <c r="D18" i="3"/>
  <c r="C18" i="3"/>
  <c r="G17" i="3"/>
  <c r="C17" i="3"/>
  <c r="D17" i="3"/>
  <c r="E17" i="3"/>
  <c r="F17" i="3"/>
  <c r="H17" i="3"/>
  <c r="D16" i="3"/>
  <c r="E16" i="3"/>
  <c r="F16" i="3"/>
  <c r="G16" i="3"/>
  <c r="H16" i="3"/>
  <c r="C16" i="3"/>
  <c r="H15" i="3"/>
  <c r="C15" i="3"/>
  <c r="D15" i="3"/>
  <c r="E15" i="3"/>
  <c r="F15" i="3"/>
  <c r="G15" i="3"/>
  <c r="C14" i="3"/>
  <c r="D14" i="3"/>
  <c r="E14" i="3"/>
  <c r="F14" i="3"/>
  <c r="G14" i="3"/>
  <c r="H14" i="3"/>
  <c r="D13" i="3"/>
  <c r="E13" i="3"/>
  <c r="F13" i="3"/>
  <c r="G13" i="3"/>
  <c r="H13" i="3"/>
  <c r="C13" i="3"/>
  <c r="C12" i="3"/>
  <c r="D12" i="3"/>
  <c r="E12" i="3"/>
  <c r="F12" i="3"/>
  <c r="G12" i="3"/>
  <c r="H12" i="3"/>
  <c r="F11" i="3"/>
  <c r="G11" i="3"/>
  <c r="H11" i="3"/>
  <c r="E11" i="3"/>
  <c r="D11" i="3"/>
  <c r="C11" i="3"/>
  <c r="F10" i="3"/>
  <c r="G10" i="3"/>
  <c r="C10" i="3"/>
  <c r="E10" i="3"/>
  <c r="H10" i="3"/>
  <c r="D9" i="3"/>
  <c r="C9" i="3"/>
  <c r="F9" i="3"/>
  <c r="G9" i="3"/>
  <c r="E9" i="3"/>
  <c r="H9" i="3"/>
  <c r="H8" i="3"/>
  <c r="G8" i="3"/>
  <c r="F8" i="3"/>
  <c r="D8" i="3"/>
  <c r="C8" i="3"/>
  <c r="E8" i="3"/>
  <c r="H7" i="3"/>
  <c r="E7" i="3"/>
  <c r="D7" i="3"/>
  <c r="C7" i="3"/>
  <c r="G7" i="3"/>
  <c r="F7" i="3"/>
  <c r="H6" i="3"/>
  <c r="E6" i="3"/>
  <c r="C6" i="3"/>
  <c r="D6" i="3"/>
  <c r="F6" i="3"/>
  <c r="G6" i="3"/>
  <c r="H5" i="3"/>
  <c r="G5" i="3"/>
  <c r="F5" i="3"/>
  <c r="D5" i="3"/>
  <c r="C5" i="3"/>
  <c r="E5" i="3"/>
  <c r="F4" i="3"/>
  <c r="E4" i="3"/>
  <c r="D4" i="3"/>
  <c r="C4" i="3"/>
  <c r="H4" i="3"/>
  <c r="G4" i="3"/>
  <c r="F3" i="3"/>
  <c r="H3" i="3"/>
  <c r="G3" i="3"/>
  <c r="E3" i="3"/>
  <c r="C3" i="3"/>
  <c r="D3" i="3"/>
  <c r="C2" i="3"/>
  <c r="F2" i="3"/>
  <c r="E2" i="3"/>
  <c r="D2" i="3"/>
  <c r="H2" i="3"/>
  <c r="G2" i="3"/>
  <c r="D52" i="2"/>
  <c r="C52" i="2"/>
  <c r="C51" i="2"/>
  <c r="D51" i="2"/>
  <c r="D50" i="2"/>
  <c r="C50" i="2"/>
  <c r="D49" i="2"/>
  <c r="C49" i="2"/>
  <c r="C48" i="2"/>
  <c r="D48" i="2"/>
  <c r="D47" i="2"/>
  <c r="C47" i="2"/>
  <c r="D46" i="2"/>
  <c r="C46" i="2"/>
  <c r="D45" i="2"/>
  <c r="C45" i="2"/>
  <c r="D44" i="2"/>
  <c r="C44" i="2"/>
  <c r="C43" i="2"/>
  <c r="D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C35" i="2"/>
  <c r="D35" i="2"/>
  <c r="D34" i="2"/>
  <c r="C34" i="2"/>
  <c r="C33" i="2"/>
  <c r="D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C25" i="2"/>
  <c r="D25" i="2"/>
  <c r="C24" i="2"/>
  <c r="D24" i="2"/>
  <c r="C22" i="2"/>
  <c r="D22" i="2"/>
  <c r="C21" i="2"/>
  <c r="D21" i="2"/>
  <c r="C20" i="2"/>
  <c r="D20" i="2"/>
  <c r="C19" i="2"/>
  <c r="D19" i="2"/>
  <c r="D17" i="2"/>
  <c r="C17" i="2"/>
  <c r="D16" i="2"/>
  <c r="C16" i="2"/>
  <c r="D14" i="2"/>
  <c r="C14" i="2"/>
  <c r="D13" i="2"/>
  <c r="C13" i="2"/>
  <c r="D12" i="2"/>
  <c r="C12" i="2"/>
  <c r="D11" i="2"/>
  <c r="C11" i="2"/>
  <c r="C10" i="2"/>
  <c r="D10" i="2"/>
  <c r="D9" i="2"/>
  <c r="C9" i="2"/>
  <c r="D7" i="2"/>
  <c r="C7" i="2"/>
  <c r="D6" i="2"/>
  <c r="C6" i="2"/>
  <c r="C5" i="2"/>
  <c r="D5" i="2"/>
  <c r="D4" i="2"/>
  <c r="C4" i="2"/>
  <c r="C3" i="2"/>
  <c r="D3" i="2"/>
  <c r="D2" i="2"/>
  <c r="C2" i="2"/>
</calcChain>
</file>

<file path=xl/sharedStrings.xml><?xml version="1.0" encoding="utf-8"?>
<sst xmlns="http://schemas.openxmlformats.org/spreadsheetml/2006/main" count="40" uniqueCount="17">
  <si>
    <t>X in degrees</t>
  </si>
  <si>
    <t xml:space="preserve">x in radian </t>
  </si>
  <si>
    <t xml:space="preserve">sine x </t>
  </si>
  <si>
    <t xml:space="preserve">cos x </t>
  </si>
  <si>
    <t>y=2*sin(𝜃)</t>
  </si>
  <si>
    <t>y=2*cos(𝜃)</t>
  </si>
  <si>
    <t>y=sin(2*𝜃)</t>
  </si>
  <si>
    <t>y=cos(2*𝜃)</t>
  </si>
  <si>
    <t xml:space="preserve">sec x </t>
  </si>
  <si>
    <t xml:space="preserve">sec  x </t>
  </si>
  <si>
    <t>cos x</t>
  </si>
  <si>
    <t xml:space="preserve">tang x </t>
  </si>
  <si>
    <t>sin(x)</t>
  </si>
  <si>
    <t xml:space="preserve">CSC  x </t>
  </si>
  <si>
    <t>cos(𝜃)</t>
  </si>
  <si>
    <t xml:space="preserve">sine  x </t>
  </si>
  <si>
    <t>csc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</si>
</sst>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164" fontId="0" fillId="0" borderId="1" xfId="0" applyNumberFormat="1" applyBorder="1"/>
    <xf numFmtId="1" fontId="0" fillId="0" borderId="1" xfId="0" applyNumberFormat="1" applyBorder="1"/>
    <xf numFmtId="2" fontId="0" fillId="0" borderId="1" xfId="0" applyNumberFormat="1" applyBorder="1"/>
    <xf numFmtId="2" fontId="0" fillId="2" borderId="1" xfId="0" applyNumberFormat="1" applyFill="1" applyBorder="1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sine cosine chart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3171622881403905E-2"/>
          <c:y val="0.17604089157506336"/>
          <c:w val="0.90885297559880995"/>
          <c:h val="0.7717496231910272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'Sin Cos complimentary'!$C$1</c:f>
              <c:strCache>
                <c:ptCount val="1"/>
                <c:pt idx="0">
                  <c:v>sine x 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Pt>
            <c:idx val="2"/>
            <c:marker>
              <c:symbol val="circle"/>
              <c:size val="6"/>
              <c:spPr>
                <a:solidFill>
                  <a:schemeClr val="accent5"/>
                </a:solidFill>
                <a:ln w="9525" cap="rnd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BC24-425F-A6E0-9355AA714CBE}"/>
              </c:ext>
            </c:extLst>
          </c:dPt>
          <c:dPt>
            <c:idx val="6"/>
            <c:marker>
              <c:symbol val="circle"/>
              <c:size val="6"/>
              <c:spPr>
                <a:solidFill>
                  <a:srgbClr val="FFFF00"/>
                </a:solidFill>
                <a:ln w="9525" cap="rnd">
                  <a:solidFill>
                    <a:schemeClr val="accent6">
                      <a:lumMod val="60000"/>
                      <a:lumOff val="40000"/>
                    </a:schemeClr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B523-485A-B991-80D56E9F5F80}"/>
              </c:ext>
            </c:extLst>
          </c:dPt>
          <c:xVal>
            <c:numRef>
              <c:f>'Sin Cos complimentary'!$A$2:$A$52</c:f>
              <c:numCache>
                <c:formatCode>General</c:formatCode>
                <c:ptCount val="51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  <c:pt idx="25">
                  <c:v>375</c:v>
                </c:pt>
                <c:pt idx="26">
                  <c:v>390</c:v>
                </c:pt>
                <c:pt idx="27">
                  <c:v>405</c:v>
                </c:pt>
                <c:pt idx="28">
                  <c:v>420</c:v>
                </c:pt>
                <c:pt idx="29">
                  <c:v>435</c:v>
                </c:pt>
                <c:pt idx="30">
                  <c:v>450</c:v>
                </c:pt>
                <c:pt idx="31">
                  <c:v>465</c:v>
                </c:pt>
                <c:pt idx="32">
                  <c:v>480</c:v>
                </c:pt>
                <c:pt idx="33">
                  <c:v>495</c:v>
                </c:pt>
                <c:pt idx="34">
                  <c:v>510</c:v>
                </c:pt>
                <c:pt idx="35">
                  <c:v>525</c:v>
                </c:pt>
                <c:pt idx="36">
                  <c:v>540</c:v>
                </c:pt>
                <c:pt idx="37">
                  <c:v>555</c:v>
                </c:pt>
                <c:pt idx="38">
                  <c:v>570</c:v>
                </c:pt>
                <c:pt idx="39">
                  <c:v>585</c:v>
                </c:pt>
                <c:pt idx="40">
                  <c:v>600</c:v>
                </c:pt>
                <c:pt idx="41">
                  <c:v>615</c:v>
                </c:pt>
                <c:pt idx="42">
                  <c:v>630</c:v>
                </c:pt>
                <c:pt idx="43">
                  <c:v>645</c:v>
                </c:pt>
                <c:pt idx="44">
                  <c:v>660</c:v>
                </c:pt>
                <c:pt idx="45">
                  <c:v>675</c:v>
                </c:pt>
                <c:pt idx="46">
                  <c:v>690</c:v>
                </c:pt>
                <c:pt idx="47">
                  <c:v>705</c:v>
                </c:pt>
                <c:pt idx="48">
                  <c:v>720</c:v>
                </c:pt>
                <c:pt idx="49">
                  <c:v>735</c:v>
                </c:pt>
                <c:pt idx="50">
                  <c:v>750</c:v>
                </c:pt>
              </c:numCache>
            </c:numRef>
          </c:xVal>
          <c:yVal>
            <c:numRef>
              <c:f>'Sin Cos complimentary'!$C$2:$C$52</c:f>
              <c:numCache>
                <c:formatCode>0.00</c:formatCode>
                <c:ptCount val="51"/>
                <c:pt idx="0">
                  <c:v>0</c:v>
                </c:pt>
                <c:pt idx="1">
                  <c:v>0.25881904510252074</c:v>
                </c:pt>
                <c:pt idx="2">
                  <c:v>0.49999999999999994</c:v>
                </c:pt>
                <c:pt idx="3">
                  <c:v>0.70710678118654746</c:v>
                </c:pt>
                <c:pt idx="4">
                  <c:v>0.8660254037844386</c:v>
                </c:pt>
                <c:pt idx="5">
                  <c:v>0.96592582628906831</c:v>
                </c:pt>
                <c:pt idx="6">
                  <c:v>1</c:v>
                </c:pt>
                <c:pt idx="7">
                  <c:v>0.96592582628906831</c:v>
                </c:pt>
                <c:pt idx="8">
                  <c:v>0.86602540378443871</c:v>
                </c:pt>
                <c:pt idx="9">
                  <c:v>0.70710678118654757</c:v>
                </c:pt>
                <c:pt idx="10">
                  <c:v>0.49999999999999994</c:v>
                </c:pt>
                <c:pt idx="11">
                  <c:v>0.25881904510252102</c:v>
                </c:pt>
                <c:pt idx="12">
                  <c:v>1.22514845490862E-16</c:v>
                </c:pt>
                <c:pt idx="13">
                  <c:v>-0.25881904510252079</c:v>
                </c:pt>
                <c:pt idx="14">
                  <c:v>-0.50000000000000011</c:v>
                </c:pt>
                <c:pt idx="15">
                  <c:v>-0.70710678118654746</c:v>
                </c:pt>
                <c:pt idx="16">
                  <c:v>-0.86602540378443837</c:v>
                </c:pt>
                <c:pt idx="17">
                  <c:v>-0.96592582628906831</c:v>
                </c:pt>
                <c:pt idx="18">
                  <c:v>-1</c:v>
                </c:pt>
                <c:pt idx="19">
                  <c:v>-0.96592582628906842</c:v>
                </c:pt>
                <c:pt idx="20">
                  <c:v>-0.8660254037844386</c:v>
                </c:pt>
                <c:pt idx="21">
                  <c:v>-0.70710678118654768</c:v>
                </c:pt>
                <c:pt idx="22">
                  <c:v>-0.50000000000000044</c:v>
                </c:pt>
                <c:pt idx="23">
                  <c:v>-0.25881904510252068</c:v>
                </c:pt>
                <c:pt idx="24">
                  <c:v>-2.45029690981724E-16</c:v>
                </c:pt>
                <c:pt idx="25">
                  <c:v>0.25881904510252024</c:v>
                </c:pt>
                <c:pt idx="26">
                  <c:v>0.5</c:v>
                </c:pt>
                <c:pt idx="27">
                  <c:v>0.70710678118654735</c:v>
                </c:pt>
                <c:pt idx="28">
                  <c:v>0.86602540378443882</c:v>
                </c:pt>
                <c:pt idx="29">
                  <c:v>0.96592582628906831</c:v>
                </c:pt>
                <c:pt idx="30">
                  <c:v>1</c:v>
                </c:pt>
                <c:pt idx="31">
                  <c:v>0.96592582628906842</c:v>
                </c:pt>
                <c:pt idx="32">
                  <c:v>0.86602540378443915</c:v>
                </c:pt>
                <c:pt idx="33">
                  <c:v>0.70710678118654713</c:v>
                </c:pt>
                <c:pt idx="34">
                  <c:v>0.49999999999999978</c:v>
                </c:pt>
                <c:pt idx="35">
                  <c:v>0.25881904510252079</c:v>
                </c:pt>
                <c:pt idx="36">
                  <c:v>3.67544536472586E-16</c:v>
                </c:pt>
                <c:pt idx="37">
                  <c:v>-0.25881904510252013</c:v>
                </c:pt>
                <c:pt idx="38">
                  <c:v>-0.49999999999999917</c:v>
                </c:pt>
                <c:pt idx="39">
                  <c:v>-0.70710678118654791</c:v>
                </c:pt>
                <c:pt idx="40">
                  <c:v>-0.86602540378443871</c:v>
                </c:pt>
                <c:pt idx="41">
                  <c:v>-0.9659258262890682</c:v>
                </c:pt>
                <c:pt idx="42">
                  <c:v>-1</c:v>
                </c:pt>
                <c:pt idx="43">
                  <c:v>-0.96592582628906842</c:v>
                </c:pt>
                <c:pt idx="44">
                  <c:v>-0.86602540378443915</c:v>
                </c:pt>
                <c:pt idx="45">
                  <c:v>-0.70710678118654724</c:v>
                </c:pt>
                <c:pt idx="46">
                  <c:v>-0.49999999999999989</c:v>
                </c:pt>
                <c:pt idx="47">
                  <c:v>-0.25881904510252096</c:v>
                </c:pt>
                <c:pt idx="48">
                  <c:v>-4.90059381963448E-16</c:v>
                </c:pt>
                <c:pt idx="49">
                  <c:v>0.25881904510252002</c:v>
                </c:pt>
                <c:pt idx="50">
                  <c:v>0.49999999999999906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C24-425F-A6E0-9355AA714CBE}"/>
            </c:ext>
          </c:extLst>
        </c:ser>
        <c:ser>
          <c:idx val="1"/>
          <c:order val="1"/>
          <c:tx>
            <c:strRef>
              <c:f>'Sin Cos complimentary'!$D$1</c:f>
              <c:strCache>
                <c:ptCount val="1"/>
                <c:pt idx="0">
                  <c:v>cos x 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Pt>
            <c:idx val="4"/>
            <c:marker>
              <c:symbol val="circle"/>
              <c:size val="6"/>
              <c:spPr>
                <a:solidFill>
                  <a:srgbClr val="FF0000"/>
                </a:solidFill>
                <a:ln w="9525" cap="rnd">
                  <a:solidFill>
                    <a:schemeClr val="accent2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BC24-425F-A6E0-9355AA714CBE}"/>
              </c:ext>
            </c:extLst>
          </c:dPt>
          <c:xVal>
            <c:numRef>
              <c:f>'Sin Cos complimentary'!$A$2:$A$52</c:f>
              <c:numCache>
                <c:formatCode>General</c:formatCode>
                <c:ptCount val="51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  <c:pt idx="25">
                  <c:v>375</c:v>
                </c:pt>
                <c:pt idx="26">
                  <c:v>390</c:v>
                </c:pt>
                <c:pt idx="27">
                  <c:v>405</c:v>
                </c:pt>
                <c:pt idx="28">
                  <c:v>420</c:v>
                </c:pt>
                <c:pt idx="29">
                  <c:v>435</c:v>
                </c:pt>
                <c:pt idx="30">
                  <c:v>450</c:v>
                </c:pt>
                <c:pt idx="31">
                  <c:v>465</c:v>
                </c:pt>
                <c:pt idx="32">
                  <c:v>480</c:v>
                </c:pt>
                <c:pt idx="33">
                  <c:v>495</c:v>
                </c:pt>
                <c:pt idx="34">
                  <c:v>510</c:v>
                </c:pt>
                <c:pt idx="35">
                  <c:v>525</c:v>
                </c:pt>
                <c:pt idx="36">
                  <c:v>540</c:v>
                </c:pt>
                <c:pt idx="37">
                  <c:v>555</c:v>
                </c:pt>
                <c:pt idx="38">
                  <c:v>570</c:v>
                </c:pt>
                <c:pt idx="39">
                  <c:v>585</c:v>
                </c:pt>
                <c:pt idx="40">
                  <c:v>600</c:v>
                </c:pt>
                <c:pt idx="41">
                  <c:v>615</c:v>
                </c:pt>
                <c:pt idx="42">
                  <c:v>630</c:v>
                </c:pt>
                <c:pt idx="43">
                  <c:v>645</c:v>
                </c:pt>
                <c:pt idx="44">
                  <c:v>660</c:v>
                </c:pt>
                <c:pt idx="45">
                  <c:v>675</c:v>
                </c:pt>
                <c:pt idx="46">
                  <c:v>690</c:v>
                </c:pt>
                <c:pt idx="47">
                  <c:v>705</c:v>
                </c:pt>
                <c:pt idx="48">
                  <c:v>720</c:v>
                </c:pt>
                <c:pt idx="49">
                  <c:v>735</c:v>
                </c:pt>
                <c:pt idx="50">
                  <c:v>750</c:v>
                </c:pt>
              </c:numCache>
            </c:numRef>
          </c:xVal>
          <c:yVal>
            <c:numRef>
              <c:f>'Sin Cos complimentary'!$D$2:$D$52</c:f>
              <c:numCache>
                <c:formatCode>0.00</c:formatCode>
                <c:ptCount val="51"/>
                <c:pt idx="0">
                  <c:v>1</c:v>
                </c:pt>
                <c:pt idx="1">
                  <c:v>0.96592582628906831</c:v>
                </c:pt>
                <c:pt idx="2">
                  <c:v>0.86602540378443871</c:v>
                </c:pt>
                <c:pt idx="3">
                  <c:v>0.70710678118654757</c:v>
                </c:pt>
                <c:pt idx="4">
                  <c:v>0.50000000000000011</c:v>
                </c:pt>
                <c:pt idx="5">
                  <c:v>0.25881904510252074</c:v>
                </c:pt>
                <c:pt idx="6">
                  <c:v>6.1257422745431001E-17</c:v>
                </c:pt>
                <c:pt idx="7">
                  <c:v>-0.25881904510252085</c:v>
                </c:pt>
                <c:pt idx="8">
                  <c:v>-0.49999999999999978</c:v>
                </c:pt>
                <c:pt idx="9">
                  <c:v>-0.70710678118654746</c:v>
                </c:pt>
                <c:pt idx="10">
                  <c:v>-0.86602540378443871</c:v>
                </c:pt>
                <c:pt idx="11">
                  <c:v>-0.9659258262890682</c:v>
                </c:pt>
                <c:pt idx="12">
                  <c:v>-1</c:v>
                </c:pt>
                <c:pt idx="13">
                  <c:v>-0.96592582628906831</c:v>
                </c:pt>
                <c:pt idx="14">
                  <c:v>-0.8660254037844386</c:v>
                </c:pt>
                <c:pt idx="15">
                  <c:v>-0.70710678118654768</c:v>
                </c:pt>
                <c:pt idx="16">
                  <c:v>-0.50000000000000044</c:v>
                </c:pt>
                <c:pt idx="17">
                  <c:v>-0.25881904510252063</c:v>
                </c:pt>
                <c:pt idx="18">
                  <c:v>-1.83772268236293E-16</c:v>
                </c:pt>
                <c:pt idx="19">
                  <c:v>0.2588190451025203</c:v>
                </c:pt>
                <c:pt idx="20">
                  <c:v>0.50000000000000011</c:v>
                </c:pt>
                <c:pt idx="21">
                  <c:v>0.70710678118654735</c:v>
                </c:pt>
                <c:pt idx="22">
                  <c:v>0.86602540378443837</c:v>
                </c:pt>
                <c:pt idx="23">
                  <c:v>0.96592582628906831</c:v>
                </c:pt>
                <c:pt idx="24">
                  <c:v>1</c:v>
                </c:pt>
                <c:pt idx="25">
                  <c:v>0.96592582628906842</c:v>
                </c:pt>
                <c:pt idx="26">
                  <c:v>0.8660254037844386</c:v>
                </c:pt>
                <c:pt idx="27">
                  <c:v>0.70710678118654768</c:v>
                </c:pt>
                <c:pt idx="28">
                  <c:v>0.49999999999999972</c:v>
                </c:pt>
                <c:pt idx="29">
                  <c:v>0.25881904510252074</c:v>
                </c:pt>
                <c:pt idx="30">
                  <c:v>3.06287113727155E-16</c:v>
                </c:pt>
                <c:pt idx="31">
                  <c:v>-0.25881904510252018</c:v>
                </c:pt>
                <c:pt idx="32">
                  <c:v>-0.49999999999999922</c:v>
                </c:pt>
                <c:pt idx="33">
                  <c:v>-0.70710678118654791</c:v>
                </c:pt>
                <c:pt idx="34">
                  <c:v>-0.86602540378443882</c:v>
                </c:pt>
                <c:pt idx="35">
                  <c:v>-0.96592582628906831</c:v>
                </c:pt>
                <c:pt idx="36">
                  <c:v>-1</c:v>
                </c:pt>
                <c:pt idx="37">
                  <c:v>-0.96592582628906842</c:v>
                </c:pt>
                <c:pt idx="38">
                  <c:v>-0.86602540378443915</c:v>
                </c:pt>
                <c:pt idx="39">
                  <c:v>-0.70710678118654713</c:v>
                </c:pt>
                <c:pt idx="40">
                  <c:v>-0.49999999999999983</c:v>
                </c:pt>
                <c:pt idx="41">
                  <c:v>-0.25881904510252091</c:v>
                </c:pt>
                <c:pt idx="42">
                  <c:v>-4.28801959218017E-16</c:v>
                </c:pt>
                <c:pt idx="43">
                  <c:v>0.25881904510252007</c:v>
                </c:pt>
                <c:pt idx="44">
                  <c:v>0.49999999999999911</c:v>
                </c:pt>
                <c:pt idx="45">
                  <c:v>0.70710678118654779</c:v>
                </c:pt>
                <c:pt idx="46">
                  <c:v>0.86602540378443871</c:v>
                </c:pt>
                <c:pt idx="47">
                  <c:v>0.9659258262890682</c:v>
                </c:pt>
                <c:pt idx="48">
                  <c:v>1</c:v>
                </c:pt>
                <c:pt idx="49">
                  <c:v>0.96592582628906853</c:v>
                </c:pt>
                <c:pt idx="50">
                  <c:v>0.86602540378443915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C24-425F-A6E0-9355AA714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1200048"/>
        <c:axId val="681200528"/>
      </c:scatterChart>
      <c:valAx>
        <c:axId val="681200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200528"/>
        <c:crosses val="autoZero"/>
        <c:crossBetween val="midCat"/>
        <c:majorUnit val="30"/>
      </c:valAx>
      <c:valAx>
        <c:axId val="68120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200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0075603923522981E-2"/>
          <c:y val="2.6707919180705881E-2"/>
          <c:w val="0.90885297559880995"/>
          <c:h val="0.952556300921804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'[1]sec cosec graph'!$C$1</c:f>
              <c:strCache>
                <c:ptCount val="1"/>
                <c:pt idx="0">
                  <c:v>sec x 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'[1]sec cosec graph'!$A$2:$A$50</c:f>
              <c:numCache>
                <c:formatCode>General</c:formatCode>
                <c:ptCount val="49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  <c:pt idx="25">
                  <c:v>375</c:v>
                </c:pt>
                <c:pt idx="26">
                  <c:v>390</c:v>
                </c:pt>
                <c:pt idx="27">
                  <c:v>405</c:v>
                </c:pt>
                <c:pt idx="28">
                  <c:v>420</c:v>
                </c:pt>
                <c:pt idx="29">
                  <c:v>435</c:v>
                </c:pt>
                <c:pt idx="30">
                  <c:v>450</c:v>
                </c:pt>
                <c:pt idx="31">
                  <c:v>465</c:v>
                </c:pt>
                <c:pt idx="32">
                  <c:v>480</c:v>
                </c:pt>
                <c:pt idx="33">
                  <c:v>495</c:v>
                </c:pt>
                <c:pt idx="34">
                  <c:v>510</c:v>
                </c:pt>
                <c:pt idx="35">
                  <c:v>525</c:v>
                </c:pt>
                <c:pt idx="36">
                  <c:v>540</c:v>
                </c:pt>
                <c:pt idx="37">
                  <c:v>555</c:v>
                </c:pt>
                <c:pt idx="38">
                  <c:v>570</c:v>
                </c:pt>
                <c:pt idx="39">
                  <c:v>585</c:v>
                </c:pt>
                <c:pt idx="40">
                  <c:v>600</c:v>
                </c:pt>
                <c:pt idx="41">
                  <c:v>615</c:v>
                </c:pt>
                <c:pt idx="42">
                  <c:v>630</c:v>
                </c:pt>
                <c:pt idx="43">
                  <c:v>645</c:v>
                </c:pt>
                <c:pt idx="44">
                  <c:v>660</c:v>
                </c:pt>
                <c:pt idx="45">
                  <c:v>675</c:v>
                </c:pt>
                <c:pt idx="46">
                  <c:v>690</c:v>
                </c:pt>
                <c:pt idx="47">
                  <c:v>705</c:v>
                </c:pt>
                <c:pt idx="48">
                  <c:v>720</c:v>
                </c:pt>
              </c:numCache>
            </c:numRef>
          </c:xVal>
          <c:yVal>
            <c:numRef>
              <c:f>'[1]sec cosec graph'!$C$2:$C$50</c:f>
              <c:numCache>
                <c:formatCode>General</c:formatCode>
                <c:ptCount val="49"/>
                <c:pt idx="0">
                  <c:v>1</c:v>
                </c:pt>
                <c:pt idx="1">
                  <c:v>1.035276180410083</c:v>
                </c:pt>
                <c:pt idx="2">
                  <c:v>1.1547005383792515</c:v>
                </c:pt>
                <c:pt idx="3">
                  <c:v>1.4142135623730949</c:v>
                </c:pt>
                <c:pt idx="4">
                  <c:v>1.9999999999999996</c:v>
                </c:pt>
                <c:pt idx="5">
                  <c:v>3.8637033051562737</c:v>
                </c:pt>
                <c:pt idx="6">
                  <c:v>1.6324552277619072E+16</c:v>
                </c:pt>
                <c:pt idx="7">
                  <c:v>-3.8637033051562719</c:v>
                </c:pt>
                <c:pt idx="8">
                  <c:v>-2.0000000000000009</c:v>
                </c:pt>
                <c:pt idx="9">
                  <c:v>-1.4142135623730951</c:v>
                </c:pt>
                <c:pt idx="10">
                  <c:v>-1.1547005383792515</c:v>
                </c:pt>
                <c:pt idx="11">
                  <c:v>-1.0352761804100832</c:v>
                </c:pt>
                <c:pt idx="12">
                  <c:v>-1</c:v>
                </c:pt>
                <c:pt idx="13">
                  <c:v>-1.035276180410083</c:v>
                </c:pt>
                <c:pt idx="14">
                  <c:v>-1.1547005383792517</c:v>
                </c:pt>
                <c:pt idx="15">
                  <c:v>-1.4142135623730947</c:v>
                </c:pt>
                <c:pt idx="16">
                  <c:v>-1.9999999999999982</c:v>
                </c:pt>
                <c:pt idx="17">
                  <c:v>-3.863703305156275</c:v>
                </c:pt>
                <c:pt idx="18">
                  <c:v>-5441517425873024</c:v>
                </c:pt>
                <c:pt idx="19">
                  <c:v>3.8637033051562799</c:v>
                </c:pt>
                <c:pt idx="20">
                  <c:v>1.9999999999999996</c:v>
                </c:pt>
                <c:pt idx="21">
                  <c:v>1.4142135623730954</c:v>
                </c:pt>
                <c:pt idx="22">
                  <c:v>1.1547005383792519</c:v>
                </c:pt>
                <c:pt idx="23">
                  <c:v>1.035276180410083</c:v>
                </c:pt>
                <c:pt idx="24">
                  <c:v>1</c:v>
                </c:pt>
                <c:pt idx="25">
                  <c:v>1.035276180410083</c:v>
                </c:pt>
                <c:pt idx="26">
                  <c:v>1.1547005383792517</c:v>
                </c:pt>
                <c:pt idx="27">
                  <c:v>1.4142135623730947</c:v>
                </c:pt>
                <c:pt idx="28">
                  <c:v>2.0000000000000009</c:v>
                </c:pt>
                <c:pt idx="29">
                  <c:v>3.8637033051562737</c:v>
                </c:pt>
                <c:pt idx="30">
                  <c:v>3264910455523814.5</c:v>
                </c:pt>
                <c:pt idx="31">
                  <c:v>-3.8637033051562817</c:v>
                </c:pt>
                <c:pt idx="32">
                  <c:v>-2.0000000000000031</c:v>
                </c:pt>
                <c:pt idx="33">
                  <c:v>-1.4142135623730943</c:v>
                </c:pt>
                <c:pt idx="34">
                  <c:v>-1.1547005383792512</c:v>
                </c:pt>
                <c:pt idx="35">
                  <c:v>-1.035276180410083</c:v>
                </c:pt>
                <c:pt idx="36">
                  <c:v>-1</c:v>
                </c:pt>
                <c:pt idx="37">
                  <c:v>-1.035276180410083</c:v>
                </c:pt>
                <c:pt idx="38">
                  <c:v>-1.1547005383792508</c:v>
                </c:pt>
                <c:pt idx="39">
                  <c:v>-1.4142135623730958</c:v>
                </c:pt>
                <c:pt idx="40">
                  <c:v>-2.0000000000000009</c:v>
                </c:pt>
                <c:pt idx="41">
                  <c:v>-3.863703305156271</c:v>
                </c:pt>
                <c:pt idx="42">
                  <c:v>-2332078896802724.5</c:v>
                </c:pt>
                <c:pt idx="43">
                  <c:v>3.8637033051562835</c:v>
                </c:pt>
                <c:pt idx="44">
                  <c:v>2.0000000000000036</c:v>
                </c:pt>
                <c:pt idx="45">
                  <c:v>1.4142135623730945</c:v>
                </c:pt>
                <c:pt idx="46">
                  <c:v>1.1547005383792515</c:v>
                </c:pt>
                <c:pt idx="47">
                  <c:v>1.0352761804100832</c:v>
                </c:pt>
                <c:pt idx="4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F9-461D-A0FC-97AB32269831}"/>
            </c:ext>
          </c:extLst>
        </c:ser>
        <c:ser>
          <c:idx val="1"/>
          <c:order val="1"/>
          <c:tx>
            <c:strRef>
              <c:f>'sec cosec'!$E$1</c:f>
              <c:strCache>
                <c:ptCount val="1"/>
                <c:pt idx="0">
                  <c:v>sec  x 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accent6"/>
                </a:solidFill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'sec cosec'!$A$2:$A$50</c:f>
              <c:numCache>
                <c:formatCode>General</c:formatCode>
                <c:ptCount val="49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  <c:pt idx="25">
                  <c:v>375</c:v>
                </c:pt>
                <c:pt idx="26">
                  <c:v>390</c:v>
                </c:pt>
                <c:pt idx="27">
                  <c:v>405</c:v>
                </c:pt>
                <c:pt idx="28">
                  <c:v>420</c:v>
                </c:pt>
                <c:pt idx="29">
                  <c:v>435</c:v>
                </c:pt>
                <c:pt idx="30">
                  <c:v>450</c:v>
                </c:pt>
                <c:pt idx="31">
                  <c:v>465</c:v>
                </c:pt>
                <c:pt idx="32">
                  <c:v>480</c:v>
                </c:pt>
                <c:pt idx="33">
                  <c:v>495</c:v>
                </c:pt>
                <c:pt idx="34">
                  <c:v>510</c:v>
                </c:pt>
                <c:pt idx="35">
                  <c:v>525</c:v>
                </c:pt>
                <c:pt idx="36">
                  <c:v>540</c:v>
                </c:pt>
                <c:pt idx="37">
                  <c:v>555</c:v>
                </c:pt>
                <c:pt idx="38">
                  <c:v>570</c:v>
                </c:pt>
                <c:pt idx="39">
                  <c:v>585</c:v>
                </c:pt>
                <c:pt idx="40">
                  <c:v>600</c:v>
                </c:pt>
                <c:pt idx="41">
                  <c:v>615</c:v>
                </c:pt>
                <c:pt idx="42">
                  <c:v>630</c:v>
                </c:pt>
                <c:pt idx="43">
                  <c:v>645</c:v>
                </c:pt>
                <c:pt idx="44">
                  <c:v>660</c:v>
                </c:pt>
                <c:pt idx="45">
                  <c:v>675</c:v>
                </c:pt>
                <c:pt idx="46">
                  <c:v>690</c:v>
                </c:pt>
                <c:pt idx="47">
                  <c:v>705</c:v>
                </c:pt>
                <c:pt idx="48">
                  <c:v>720</c:v>
                </c:pt>
              </c:numCache>
            </c:numRef>
          </c:xVal>
          <c:yVal>
            <c:numRef>
              <c:f>'sec cosec'!$E$2:$E$50</c:f>
              <c:numCache>
                <c:formatCode>General</c:formatCode>
                <c:ptCount val="49"/>
                <c:pt idx="0">
                  <c:v>1</c:v>
                </c:pt>
                <c:pt idx="1">
                  <c:v>1.035276180410083</c:v>
                </c:pt>
                <c:pt idx="2">
                  <c:v>1.1547005383792515</c:v>
                </c:pt>
                <c:pt idx="3">
                  <c:v>1.4142135623730949</c:v>
                </c:pt>
                <c:pt idx="4">
                  <c:v>1.9999999999999996</c:v>
                </c:pt>
                <c:pt idx="5">
                  <c:v>3.8637033051562737</c:v>
                </c:pt>
                <c:pt idx="6">
                  <c:v>1.6324552277619072E+16</c:v>
                </c:pt>
                <c:pt idx="7">
                  <c:v>-3.8637033051562719</c:v>
                </c:pt>
                <c:pt idx="8">
                  <c:v>-2.0000000000000009</c:v>
                </c:pt>
                <c:pt idx="9">
                  <c:v>-1.4142135623730951</c:v>
                </c:pt>
                <c:pt idx="10">
                  <c:v>-1.1547005383792515</c:v>
                </c:pt>
                <c:pt idx="11">
                  <c:v>-1.0352761804100832</c:v>
                </c:pt>
                <c:pt idx="12">
                  <c:v>-1</c:v>
                </c:pt>
                <c:pt idx="13">
                  <c:v>-1.035276180410083</c:v>
                </c:pt>
                <c:pt idx="14">
                  <c:v>-1.1547005383792517</c:v>
                </c:pt>
                <c:pt idx="15">
                  <c:v>-1.4142135623730947</c:v>
                </c:pt>
                <c:pt idx="16">
                  <c:v>-1.9999999999999982</c:v>
                </c:pt>
                <c:pt idx="17">
                  <c:v>-3.863703305156275</c:v>
                </c:pt>
                <c:pt idx="18">
                  <c:v>-5441517425873024</c:v>
                </c:pt>
                <c:pt idx="19">
                  <c:v>3.8637033051562799</c:v>
                </c:pt>
                <c:pt idx="20">
                  <c:v>1.9999999999999996</c:v>
                </c:pt>
                <c:pt idx="21">
                  <c:v>1.4142135623730954</c:v>
                </c:pt>
                <c:pt idx="22">
                  <c:v>1.1547005383792519</c:v>
                </c:pt>
                <c:pt idx="23">
                  <c:v>1.035276180410083</c:v>
                </c:pt>
                <c:pt idx="24">
                  <c:v>1</c:v>
                </c:pt>
                <c:pt idx="25">
                  <c:v>1.035276180410083</c:v>
                </c:pt>
                <c:pt idx="26">
                  <c:v>1.1547005383792517</c:v>
                </c:pt>
                <c:pt idx="27">
                  <c:v>1.4142135623730947</c:v>
                </c:pt>
                <c:pt idx="28">
                  <c:v>2.0000000000000009</c:v>
                </c:pt>
                <c:pt idx="29">
                  <c:v>3.8637033051562737</c:v>
                </c:pt>
                <c:pt idx="30">
                  <c:v>3264910455523814.5</c:v>
                </c:pt>
                <c:pt idx="31">
                  <c:v>-3.8637033051562817</c:v>
                </c:pt>
                <c:pt idx="32">
                  <c:v>-2.0000000000000031</c:v>
                </c:pt>
                <c:pt idx="33">
                  <c:v>-1.4142135623730943</c:v>
                </c:pt>
                <c:pt idx="34">
                  <c:v>-1.1547005383792512</c:v>
                </c:pt>
                <c:pt idx="35">
                  <c:v>-1.035276180410083</c:v>
                </c:pt>
                <c:pt idx="36">
                  <c:v>-1</c:v>
                </c:pt>
                <c:pt idx="37">
                  <c:v>-1.035276180410083</c:v>
                </c:pt>
                <c:pt idx="38">
                  <c:v>-1.1547005383792508</c:v>
                </c:pt>
                <c:pt idx="39">
                  <c:v>-1.4142135623730958</c:v>
                </c:pt>
                <c:pt idx="40">
                  <c:v>-2.0000000000000009</c:v>
                </c:pt>
                <c:pt idx="41">
                  <c:v>-3.863703305156271</c:v>
                </c:pt>
                <c:pt idx="42">
                  <c:v>-2332078896802724.5</c:v>
                </c:pt>
                <c:pt idx="43">
                  <c:v>3.8637033051562835</c:v>
                </c:pt>
                <c:pt idx="44">
                  <c:v>2.0000000000000036</c:v>
                </c:pt>
                <c:pt idx="45">
                  <c:v>1.4142135623730945</c:v>
                </c:pt>
                <c:pt idx="46">
                  <c:v>1.1547005383792515</c:v>
                </c:pt>
                <c:pt idx="47">
                  <c:v>1.0352761804100832</c:v>
                </c:pt>
                <c:pt idx="4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FF9-461D-A0FC-97AB32269831}"/>
            </c:ext>
          </c:extLst>
        </c:ser>
        <c:ser>
          <c:idx val="2"/>
          <c:order val="2"/>
          <c:tx>
            <c:strRef>
              <c:f>'[1]sec cosec graph'!$D$1</c:f>
              <c:strCache>
                <c:ptCount val="1"/>
                <c:pt idx="0">
                  <c:v>y=2*sin(𝜃)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'[1]sec cosec graph'!$A$2:$A$50</c:f>
              <c:numCache>
                <c:formatCode>General</c:formatCode>
                <c:ptCount val="49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  <c:pt idx="25">
                  <c:v>375</c:v>
                </c:pt>
                <c:pt idx="26">
                  <c:v>390</c:v>
                </c:pt>
                <c:pt idx="27">
                  <c:v>405</c:v>
                </c:pt>
                <c:pt idx="28">
                  <c:v>420</c:v>
                </c:pt>
                <c:pt idx="29">
                  <c:v>435</c:v>
                </c:pt>
                <c:pt idx="30">
                  <c:v>450</c:v>
                </c:pt>
                <c:pt idx="31">
                  <c:v>465</c:v>
                </c:pt>
                <c:pt idx="32">
                  <c:v>480</c:v>
                </c:pt>
                <c:pt idx="33">
                  <c:v>495</c:v>
                </c:pt>
                <c:pt idx="34">
                  <c:v>510</c:v>
                </c:pt>
                <c:pt idx="35">
                  <c:v>525</c:v>
                </c:pt>
                <c:pt idx="36">
                  <c:v>540</c:v>
                </c:pt>
                <c:pt idx="37">
                  <c:v>555</c:v>
                </c:pt>
                <c:pt idx="38">
                  <c:v>570</c:v>
                </c:pt>
                <c:pt idx="39">
                  <c:v>585</c:v>
                </c:pt>
                <c:pt idx="40">
                  <c:v>600</c:v>
                </c:pt>
                <c:pt idx="41">
                  <c:v>615</c:v>
                </c:pt>
                <c:pt idx="42">
                  <c:v>630</c:v>
                </c:pt>
                <c:pt idx="43">
                  <c:v>645</c:v>
                </c:pt>
                <c:pt idx="44">
                  <c:v>660</c:v>
                </c:pt>
                <c:pt idx="45">
                  <c:v>675</c:v>
                </c:pt>
                <c:pt idx="46">
                  <c:v>690</c:v>
                </c:pt>
                <c:pt idx="47">
                  <c:v>705</c:v>
                </c:pt>
                <c:pt idx="48">
                  <c:v>720</c:v>
                </c:pt>
              </c:numCache>
            </c:numRef>
          </c:xVal>
          <c:yVal>
            <c:numRef>
              <c:f>'[1]sec cosec graph'!$D$2:$D$50</c:f>
              <c:numCache>
                <c:formatCode>General</c:formatCode>
                <c:ptCount val="49"/>
                <c:pt idx="0">
                  <c:v>0</c:v>
                </c:pt>
                <c:pt idx="1">
                  <c:v>0.51763809020504148</c:v>
                </c:pt>
                <c:pt idx="2">
                  <c:v>0.99999999999999989</c:v>
                </c:pt>
                <c:pt idx="3">
                  <c:v>1.4142135623730949</c:v>
                </c:pt>
                <c:pt idx="4">
                  <c:v>1.7320508075688772</c:v>
                </c:pt>
                <c:pt idx="5">
                  <c:v>1.9318516525781366</c:v>
                </c:pt>
                <c:pt idx="6">
                  <c:v>2</c:v>
                </c:pt>
                <c:pt idx="7">
                  <c:v>1.9318516525781366</c:v>
                </c:pt>
                <c:pt idx="8">
                  <c:v>1.7320508075688774</c:v>
                </c:pt>
                <c:pt idx="9">
                  <c:v>1.4142135623730951</c:v>
                </c:pt>
                <c:pt idx="10">
                  <c:v>0.99999999999999989</c:v>
                </c:pt>
                <c:pt idx="11">
                  <c:v>0.51763809020504203</c:v>
                </c:pt>
                <c:pt idx="12">
                  <c:v>2.45029690981724E-16</c:v>
                </c:pt>
                <c:pt idx="13">
                  <c:v>-0.51763809020504159</c:v>
                </c:pt>
                <c:pt idx="14">
                  <c:v>-1.0000000000000002</c:v>
                </c:pt>
                <c:pt idx="15">
                  <c:v>-1.4142135623730949</c:v>
                </c:pt>
                <c:pt idx="16">
                  <c:v>-1.7320508075688767</c:v>
                </c:pt>
                <c:pt idx="17">
                  <c:v>-1.9318516525781366</c:v>
                </c:pt>
                <c:pt idx="18">
                  <c:v>-2</c:v>
                </c:pt>
                <c:pt idx="19">
                  <c:v>-1.9318516525781368</c:v>
                </c:pt>
                <c:pt idx="20">
                  <c:v>-1.7320508075688772</c:v>
                </c:pt>
                <c:pt idx="21">
                  <c:v>-1.4142135623730954</c:v>
                </c:pt>
                <c:pt idx="22">
                  <c:v>-1.0000000000000009</c:v>
                </c:pt>
                <c:pt idx="23">
                  <c:v>-0.51763809020504137</c:v>
                </c:pt>
                <c:pt idx="24">
                  <c:v>-4.90059381963448E-16</c:v>
                </c:pt>
                <c:pt idx="25">
                  <c:v>0.51763809020504048</c:v>
                </c:pt>
                <c:pt idx="26">
                  <c:v>1</c:v>
                </c:pt>
                <c:pt idx="27">
                  <c:v>1.4142135623730947</c:v>
                </c:pt>
                <c:pt idx="28">
                  <c:v>1.7320508075688776</c:v>
                </c:pt>
                <c:pt idx="29">
                  <c:v>1.9318516525781366</c:v>
                </c:pt>
                <c:pt idx="30">
                  <c:v>2</c:v>
                </c:pt>
                <c:pt idx="31">
                  <c:v>1.9318516525781368</c:v>
                </c:pt>
                <c:pt idx="32">
                  <c:v>1.7320508075688783</c:v>
                </c:pt>
                <c:pt idx="33">
                  <c:v>1.4142135623730943</c:v>
                </c:pt>
                <c:pt idx="34">
                  <c:v>0.99999999999999956</c:v>
                </c:pt>
                <c:pt idx="35">
                  <c:v>0.51763809020504159</c:v>
                </c:pt>
                <c:pt idx="36">
                  <c:v>7.3508907294517201E-16</c:v>
                </c:pt>
                <c:pt idx="37">
                  <c:v>-0.51763809020504026</c:v>
                </c:pt>
                <c:pt idx="38">
                  <c:v>-0.99999999999999833</c:v>
                </c:pt>
                <c:pt idx="39">
                  <c:v>-1.4142135623730958</c:v>
                </c:pt>
                <c:pt idx="40">
                  <c:v>-1.7320508075688774</c:v>
                </c:pt>
                <c:pt idx="41">
                  <c:v>-1.9318516525781364</c:v>
                </c:pt>
                <c:pt idx="42">
                  <c:v>-2</c:v>
                </c:pt>
                <c:pt idx="43">
                  <c:v>-1.9318516525781368</c:v>
                </c:pt>
                <c:pt idx="44">
                  <c:v>-1.7320508075688783</c:v>
                </c:pt>
                <c:pt idx="45">
                  <c:v>-1.4142135623730945</c:v>
                </c:pt>
                <c:pt idx="46">
                  <c:v>-0.99999999999999978</c:v>
                </c:pt>
                <c:pt idx="47">
                  <c:v>-0.51763809020504192</c:v>
                </c:pt>
                <c:pt idx="48">
                  <c:v>-9.8011876392689601E-16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FF9-461D-A0FC-97AB32269831}"/>
            </c:ext>
          </c:extLst>
        </c:ser>
        <c:ser>
          <c:idx val="3"/>
          <c:order val="3"/>
          <c:tx>
            <c:strRef>
              <c:f>'sec cosec'!$F$1</c:f>
              <c:strCache>
                <c:ptCount val="1"/>
                <c:pt idx="0">
                  <c:v>cos x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dPt>
            <c:idx val="6"/>
            <c:marker>
              <c:symbol val="diamond"/>
              <c:size val="16"/>
              <c:spPr>
                <a:solidFill>
                  <a:srgbClr val="FF0000"/>
                </a:solidFill>
                <a:ln>
                  <a:noFill/>
                </a:ln>
                <a:effectLst>
                  <a:glow rad="63500">
                    <a:schemeClr val="accent4"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3FF9-461D-A0FC-97AB32269831}"/>
              </c:ext>
            </c:extLst>
          </c:dPt>
          <c:dPt>
            <c:idx val="7"/>
            <c:marker>
              <c:symbol val="circle"/>
              <c:size val="13"/>
              <c:spPr>
                <a:solidFill>
                  <a:srgbClr val="00FF00"/>
                </a:solidFill>
                <a:ln>
                  <a:noFill/>
                </a:ln>
                <a:effectLst>
                  <a:glow rad="63500">
                    <a:schemeClr val="accent4"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3FF9-461D-A0FC-97AB32269831}"/>
              </c:ext>
            </c:extLst>
          </c:dPt>
          <c:dPt>
            <c:idx val="18"/>
            <c:marker>
              <c:symbol val="diamond"/>
              <c:size val="14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>
                  <a:glow rad="63500">
                    <a:schemeClr val="accent4"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3FF9-461D-A0FC-97AB32269831}"/>
              </c:ext>
            </c:extLst>
          </c:dPt>
          <c:dPt>
            <c:idx val="19"/>
            <c:marker>
              <c:symbol val="circle"/>
              <c:size val="14"/>
              <c:spPr>
                <a:solidFill>
                  <a:schemeClr val="accent1"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4"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3FF9-461D-A0FC-97AB32269831}"/>
              </c:ext>
            </c:extLst>
          </c:dPt>
          <c:xVal>
            <c:numRef>
              <c:f>'sec cosec'!$A$2:$A$50</c:f>
              <c:numCache>
                <c:formatCode>General</c:formatCode>
                <c:ptCount val="49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  <c:pt idx="25">
                  <c:v>375</c:v>
                </c:pt>
                <c:pt idx="26">
                  <c:v>390</c:v>
                </c:pt>
                <c:pt idx="27">
                  <c:v>405</c:v>
                </c:pt>
                <c:pt idx="28">
                  <c:v>420</c:v>
                </c:pt>
                <c:pt idx="29">
                  <c:v>435</c:v>
                </c:pt>
                <c:pt idx="30">
                  <c:v>450</c:v>
                </c:pt>
                <c:pt idx="31">
                  <c:v>465</c:v>
                </c:pt>
                <c:pt idx="32">
                  <c:v>480</c:v>
                </c:pt>
                <c:pt idx="33">
                  <c:v>495</c:v>
                </c:pt>
                <c:pt idx="34">
                  <c:v>510</c:v>
                </c:pt>
                <c:pt idx="35">
                  <c:v>525</c:v>
                </c:pt>
                <c:pt idx="36">
                  <c:v>540</c:v>
                </c:pt>
                <c:pt idx="37">
                  <c:v>555</c:v>
                </c:pt>
                <c:pt idx="38">
                  <c:v>570</c:v>
                </c:pt>
                <c:pt idx="39">
                  <c:v>585</c:v>
                </c:pt>
                <c:pt idx="40">
                  <c:v>600</c:v>
                </c:pt>
                <c:pt idx="41">
                  <c:v>615</c:v>
                </c:pt>
                <c:pt idx="42">
                  <c:v>630</c:v>
                </c:pt>
                <c:pt idx="43">
                  <c:v>645</c:v>
                </c:pt>
                <c:pt idx="44">
                  <c:v>660</c:v>
                </c:pt>
                <c:pt idx="45">
                  <c:v>675</c:v>
                </c:pt>
                <c:pt idx="46">
                  <c:v>690</c:v>
                </c:pt>
                <c:pt idx="47">
                  <c:v>705</c:v>
                </c:pt>
                <c:pt idx="48">
                  <c:v>720</c:v>
                </c:pt>
              </c:numCache>
            </c:numRef>
          </c:xVal>
          <c:yVal>
            <c:numRef>
              <c:f>'sec cosec'!$F$2:$F$50</c:f>
              <c:numCache>
                <c:formatCode>General</c:formatCode>
                <c:ptCount val="49"/>
                <c:pt idx="0">
                  <c:v>1</c:v>
                </c:pt>
                <c:pt idx="1">
                  <c:v>0.96592582628906831</c:v>
                </c:pt>
                <c:pt idx="2">
                  <c:v>0.86602540378443871</c:v>
                </c:pt>
                <c:pt idx="3">
                  <c:v>0.70710678118654757</c:v>
                </c:pt>
                <c:pt idx="4">
                  <c:v>0.50000000000000011</c:v>
                </c:pt>
                <c:pt idx="5">
                  <c:v>0.25881904510252074</c:v>
                </c:pt>
                <c:pt idx="6" formatCode="0.00">
                  <c:v>6.1257422745431001E-17</c:v>
                </c:pt>
                <c:pt idx="7">
                  <c:v>-0.25881904510252085</c:v>
                </c:pt>
                <c:pt idx="8">
                  <c:v>-0.49999999999999978</c:v>
                </c:pt>
                <c:pt idx="9">
                  <c:v>-0.70710678118654746</c:v>
                </c:pt>
                <c:pt idx="10">
                  <c:v>-0.86602540378443871</c:v>
                </c:pt>
                <c:pt idx="11">
                  <c:v>-0.9659258262890682</c:v>
                </c:pt>
                <c:pt idx="12">
                  <c:v>-1</c:v>
                </c:pt>
                <c:pt idx="13">
                  <c:v>-0.96592582628906831</c:v>
                </c:pt>
                <c:pt idx="14">
                  <c:v>-0.8660254037844386</c:v>
                </c:pt>
                <c:pt idx="15">
                  <c:v>-0.70710678118654768</c:v>
                </c:pt>
                <c:pt idx="16">
                  <c:v>-0.50000000000000044</c:v>
                </c:pt>
                <c:pt idx="17">
                  <c:v>-0.25881904510252063</c:v>
                </c:pt>
                <c:pt idx="18">
                  <c:v>-1.83772268236293E-16</c:v>
                </c:pt>
                <c:pt idx="19">
                  <c:v>0.2588190451025203</c:v>
                </c:pt>
                <c:pt idx="20">
                  <c:v>0.50000000000000011</c:v>
                </c:pt>
                <c:pt idx="21">
                  <c:v>0.70710678118654735</c:v>
                </c:pt>
                <c:pt idx="22">
                  <c:v>0.86602540378443837</c:v>
                </c:pt>
                <c:pt idx="23">
                  <c:v>0.96592582628906831</c:v>
                </c:pt>
                <c:pt idx="24">
                  <c:v>1</c:v>
                </c:pt>
                <c:pt idx="25">
                  <c:v>0.96592582628906842</c:v>
                </c:pt>
                <c:pt idx="26">
                  <c:v>0.8660254037844386</c:v>
                </c:pt>
                <c:pt idx="27">
                  <c:v>0.70710678118654768</c:v>
                </c:pt>
                <c:pt idx="28">
                  <c:v>0.49999999999999972</c:v>
                </c:pt>
                <c:pt idx="29">
                  <c:v>0.25881904510252074</c:v>
                </c:pt>
                <c:pt idx="30">
                  <c:v>3.06287113727155E-16</c:v>
                </c:pt>
                <c:pt idx="31">
                  <c:v>-0.25881904510252018</c:v>
                </c:pt>
                <c:pt idx="32">
                  <c:v>-0.49999999999999922</c:v>
                </c:pt>
                <c:pt idx="33">
                  <c:v>-0.70710678118654791</c:v>
                </c:pt>
                <c:pt idx="34">
                  <c:v>-0.86602540378443882</c:v>
                </c:pt>
                <c:pt idx="35">
                  <c:v>-0.96592582628906831</c:v>
                </c:pt>
                <c:pt idx="36">
                  <c:v>-1</c:v>
                </c:pt>
                <c:pt idx="37">
                  <c:v>-0.96592582628906842</c:v>
                </c:pt>
                <c:pt idx="38">
                  <c:v>-0.86602540378443915</c:v>
                </c:pt>
                <c:pt idx="39">
                  <c:v>-0.70710678118654713</c:v>
                </c:pt>
                <c:pt idx="40">
                  <c:v>-0.49999999999999983</c:v>
                </c:pt>
                <c:pt idx="41">
                  <c:v>-0.25881904510252091</c:v>
                </c:pt>
                <c:pt idx="42">
                  <c:v>-4.28801959218017E-16</c:v>
                </c:pt>
                <c:pt idx="43">
                  <c:v>0.25881904510252007</c:v>
                </c:pt>
                <c:pt idx="44">
                  <c:v>0.49999999999999911</c:v>
                </c:pt>
                <c:pt idx="45">
                  <c:v>0.70710678118654779</c:v>
                </c:pt>
                <c:pt idx="46">
                  <c:v>0.86602540378443871</c:v>
                </c:pt>
                <c:pt idx="47">
                  <c:v>0.9659258262890682</c:v>
                </c:pt>
                <c:pt idx="4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FF9-461D-A0FC-97AB32269831}"/>
            </c:ext>
          </c:extLst>
        </c:ser>
        <c:ser>
          <c:idx val="4"/>
          <c:order val="4"/>
          <c:tx>
            <c:strRef>
              <c:f>'[1]sec cosec graph'!$G$1</c:f>
              <c:strCache>
                <c:ptCount val="1"/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accent2"/>
                </a:solidFill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'[1]sec cosec graph'!$A$2:$A$50</c:f>
              <c:numCache>
                <c:formatCode>General</c:formatCode>
                <c:ptCount val="49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  <c:pt idx="25">
                  <c:v>375</c:v>
                </c:pt>
                <c:pt idx="26">
                  <c:v>390</c:v>
                </c:pt>
                <c:pt idx="27">
                  <c:v>405</c:v>
                </c:pt>
                <c:pt idx="28">
                  <c:v>420</c:v>
                </c:pt>
                <c:pt idx="29">
                  <c:v>435</c:v>
                </c:pt>
                <c:pt idx="30">
                  <c:v>450</c:v>
                </c:pt>
                <c:pt idx="31">
                  <c:v>465</c:v>
                </c:pt>
                <c:pt idx="32">
                  <c:v>480</c:v>
                </c:pt>
                <c:pt idx="33">
                  <c:v>495</c:v>
                </c:pt>
                <c:pt idx="34">
                  <c:v>510</c:v>
                </c:pt>
                <c:pt idx="35">
                  <c:v>525</c:v>
                </c:pt>
                <c:pt idx="36">
                  <c:v>540</c:v>
                </c:pt>
                <c:pt idx="37">
                  <c:v>555</c:v>
                </c:pt>
                <c:pt idx="38">
                  <c:v>570</c:v>
                </c:pt>
                <c:pt idx="39">
                  <c:v>585</c:v>
                </c:pt>
                <c:pt idx="40">
                  <c:v>600</c:v>
                </c:pt>
                <c:pt idx="41">
                  <c:v>615</c:v>
                </c:pt>
                <c:pt idx="42">
                  <c:v>630</c:v>
                </c:pt>
                <c:pt idx="43">
                  <c:v>645</c:v>
                </c:pt>
                <c:pt idx="44">
                  <c:v>660</c:v>
                </c:pt>
                <c:pt idx="45">
                  <c:v>675</c:v>
                </c:pt>
                <c:pt idx="46">
                  <c:v>690</c:v>
                </c:pt>
                <c:pt idx="47">
                  <c:v>705</c:v>
                </c:pt>
                <c:pt idx="48">
                  <c:v>720</c:v>
                </c:pt>
              </c:numCache>
            </c:numRef>
          </c:xVal>
          <c:yVal>
            <c:numRef>
              <c:f>'[1]sec cosec graph'!$G$2:$G$50</c:f>
              <c:numCache>
                <c:formatCode>General</c:formatCode>
                <c:ptCount val="49"/>
                <c:pt idx="0">
                  <c:v>0</c:v>
                </c:pt>
                <c:pt idx="1">
                  <c:v>0.49999999999999994</c:v>
                </c:pt>
                <c:pt idx="2">
                  <c:v>0.8660254037844386</c:v>
                </c:pt>
                <c:pt idx="3">
                  <c:v>1</c:v>
                </c:pt>
                <c:pt idx="4">
                  <c:v>0.86602540378443871</c:v>
                </c:pt>
                <c:pt idx="5">
                  <c:v>0.49999999999999994</c:v>
                </c:pt>
                <c:pt idx="6">
                  <c:v>1.22514845490862E-16</c:v>
                </c:pt>
                <c:pt idx="7">
                  <c:v>-0.50000000000000011</c:v>
                </c:pt>
                <c:pt idx="8">
                  <c:v>-0.86602540378443837</c:v>
                </c:pt>
                <c:pt idx="9">
                  <c:v>-1</c:v>
                </c:pt>
                <c:pt idx="10">
                  <c:v>-0.8660254037844386</c:v>
                </c:pt>
                <c:pt idx="11">
                  <c:v>-0.50000000000000044</c:v>
                </c:pt>
                <c:pt idx="12">
                  <c:v>-2.45029690981724E-16</c:v>
                </c:pt>
                <c:pt idx="13">
                  <c:v>0.5</c:v>
                </c:pt>
                <c:pt idx="14">
                  <c:v>0.86602540378443882</c:v>
                </c:pt>
                <c:pt idx="15">
                  <c:v>1</c:v>
                </c:pt>
                <c:pt idx="16">
                  <c:v>0.86602540378443915</c:v>
                </c:pt>
                <c:pt idx="17">
                  <c:v>0.49999999999999978</c:v>
                </c:pt>
                <c:pt idx="18">
                  <c:v>3.67544536472586E-16</c:v>
                </c:pt>
                <c:pt idx="19">
                  <c:v>-0.49999999999999917</c:v>
                </c:pt>
                <c:pt idx="20">
                  <c:v>-0.86602540378443871</c:v>
                </c:pt>
                <c:pt idx="21">
                  <c:v>-1</c:v>
                </c:pt>
                <c:pt idx="22">
                  <c:v>-0.86602540378443915</c:v>
                </c:pt>
                <c:pt idx="23">
                  <c:v>-0.49999999999999989</c:v>
                </c:pt>
                <c:pt idx="24">
                  <c:v>-4.90059381963448E-16</c:v>
                </c:pt>
                <c:pt idx="25">
                  <c:v>0.49999999999999906</c:v>
                </c:pt>
                <c:pt idx="26">
                  <c:v>0.86602540378443871</c:v>
                </c:pt>
                <c:pt idx="27">
                  <c:v>1</c:v>
                </c:pt>
                <c:pt idx="28">
                  <c:v>0.86602540378443837</c:v>
                </c:pt>
                <c:pt idx="29">
                  <c:v>0.5</c:v>
                </c:pt>
                <c:pt idx="30">
                  <c:v>6.1257422745431001E-16</c:v>
                </c:pt>
                <c:pt idx="31">
                  <c:v>-0.49999999999999895</c:v>
                </c:pt>
                <c:pt idx="32">
                  <c:v>-0.86602540378443771</c:v>
                </c:pt>
                <c:pt idx="33">
                  <c:v>-1</c:v>
                </c:pt>
                <c:pt idx="34">
                  <c:v>-0.86602540378443837</c:v>
                </c:pt>
                <c:pt idx="35">
                  <c:v>-0.50000000000000011</c:v>
                </c:pt>
                <c:pt idx="36">
                  <c:v>-7.3508907294517201E-16</c:v>
                </c:pt>
                <c:pt idx="37">
                  <c:v>0.49999999999999883</c:v>
                </c:pt>
                <c:pt idx="38">
                  <c:v>0.86602540378443771</c:v>
                </c:pt>
                <c:pt idx="39">
                  <c:v>1</c:v>
                </c:pt>
                <c:pt idx="40">
                  <c:v>0.86602540378443849</c:v>
                </c:pt>
                <c:pt idx="41">
                  <c:v>0.50000000000000022</c:v>
                </c:pt>
                <c:pt idx="42">
                  <c:v>8.5760391843603401E-16</c:v>
                </c:pt>
                <c:pt idx="43">
                  <c:v>-0.49999999999999872</c:v>
                </c:pt>
                <c:pt idx="44">
                  <c:v>-0.8660254037844376</c:v>
                </c:pt>
                <c:pt idx="45">
                  <c:v>-1</c:v>
                </c:pt>
                <c:pt idx="46">
                  <c:v>-0.86602540378443849</c:v>
                </c:pt>
                <c:pt idx="47">
                  <c:v>-0.50000000000000033</c:v>
                </c:pt>
                <c:pt idx="48">
                  <c:v>-9.8011876392689601E-16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FF9-461D-A0FC-97AB32269831}"/>
            </c:ext>
          </c:extLst>
        </c:ser>
        <c:ser>
          <c:idx val="5"/>
          <c:order val="5"/>
          <c:tx>
            <c:strRef>
              <c:f>'[1]sec cosec graph'!$H$1</c:f>
              <c:strCache>
                <c:ptCount val="1"/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'[1]sec cosec graph'!$A$2:$A$50</c:f>
              <c:numCache>
                <c:formatCode>General</c:formatCode>
                <c:ptCount val="49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  <c:pt idx="25">
                  <c:v>375</c:v>
                </c:pt>
                <c:pt idx="26">
                  <c:v>390</c:v>
                </c:pt>
                <c:pt idx="27">
                  <c:v>405</c:v>
                </c:pt>
                <c:pt idx="28">
                  <c:v>420</c:v>
                </c:pt>
                <c:pt idx="29">
                  <c:v>435</c:v>
                </c:pt>
                <c:pt idx="30">
                  <c:v>450</c:v>
                </c:pt>
                <c:pt idx="31">
                  <c:v>465</c:v>
                </c:pt>
                <c:pt idx="32">
                  <c:v>480</c:v>
                </c:pt>
                <c:pt idx="33">
                  <c:v>495</c:v>
                </c:pt>
                <c:pt idx="34">
                  <c:v>510</c:v>
                </c:pt>
                <c:pt idx="35">
                  <c:v>525</c:v>
                </c:pt>
                <c:pt idx="36">
                  <c:v>540</c:v>
                </c:pt>
                <c:pt idx="37">
                  <c:v>555</c:v>
                </c:pt>
                <c:pt idx="38">
                  <c:v>570</c:v>
                </c:pt>
                <c:pt idx="39">
                  <c:v>585</c:v>
                </c:pt>
                <c:pt idx="40">
                  <c:v>600</c:v>
                </c:pt>
                <c:pt idx="41">
                  <c:v>615</c:v>
                </c:pt>
                <c:pt idx="42">
                  <c:v>630</c:v>
                </c:pt>
                <c:pt idx="43">
                  <c:v>645</c:v>
                </c:pt>
                <c:pt idx="44">
                  <c:v>660</c:v>
                </c:pt>
                <c:pt idx="45">
                  <c:v>675</c:v>
                </c:pt>
                <c:pt idx="46">
                  <c:v>690</c:v>
                </c:pt>
                <c:pt idx="47">
                  <c:v>705</c:v>
                </c:pt>
                <c:pt idx="48">
                  <c:v>720</c:v>
                </c:pt>
              </c:numCache>
            </c:numRef>
          </c:xVal>
          <c:yVal>
            <c:numRef>
              <c:f>'[1]sec cosec graph'!$H$2:$H$50</c:f>
              <c:numCache>
                <c:formatCode>General</c:formatCode>
                <c:ptCount val="49"/>
                <c:pt idx="0">
                  <c:v>1</c:v>
                </c:pt>
                <c:pt idx="1">
                  <c:v>0.86602540378443871</c:v>
                </c:pt>
                <c:pt idx="2">
                  <c:v>0.50000000000000011</c:v>
                </c:pt>
                <c:pt idx="3">
                  <c:v>6.1257422745431001E-17</c:v>
                </c:pt>
                <c:pt idx="4">
                  <c:v>-0.49999999999999978</c:v>
                </c:pt>
                <c:pt idx="5">
                  <c:v>-0.86602540378443871</c:v>
                </c:pt>
                <c:pt idx="6">
                  <c:v>-1</c:v>
                </c:pt>
                <c:pt idx="7">
                  <c:v>-0.8660254037844386</c:v>
                </c:pt>
                <c:pt idx="8">
                  <c:v>-0.50000000000000044</c:v>
                </c:pt>
                <c:pt idx="9">
                  <c:v>-1.83772268236293E-16</c:v>
                </c:pt>
                <c:pt idx="10">
                  <c:v>0.50000000000000011</c:v>
                </c:pt>
                <c:pt idx="11">
                  <c:v>0.86602540378443837</c:v>
                </c:pt>
                <c:pt idx="12">
                  <c:v>1</c:v>
                </c:pt>
                <c:pt idx="13">
                  <c:v>0.8660254037844386</c:v>
                </c:pt>
                <c:pt idx="14">
                  <c:v>0.49999999999999972</c:v>
                </c:pt>
                <c:pt idx="15">
                  <c:v>3.06287113727155E-16</c:v>
                </c:pt>
                <c:pt idx="16">
                  <c:v>-0.49999999999999922</c:v>
                </c:pt>
                <c:pt idx="17">
                  <c:v>-0.86602540378443882</c:v>
                </c:pt>
                <c:pt idx="18">
                  <c:v>-1</c:v>
                </c:pt>
                <c:pt idx="19">
                  <c:v>-0.86602540378443915</c:v>
                </c:pt>
                <c:pt idx="20">
                  <c:v>-0.49999999999999983</c:v>
                </c:pt>
                <c:pt idx="21">
                  <c:v>-4.28801959218017E-16</c:v>
                </c:pt>
                <c:pt idx="22">
                  <c:v>0.49999999999999911</c:v>
                </c:pt>
                <c:pt idx="23">
                  <c:v>0.86602540378443871</c:v>
                </c:pt>
                <c:pt idx="24">
                  <c:v>1</c:v>
                </c:pt>
                <c:pt idx="25">
                  <c:v>0.86602540378443915</c:v>
                </c:pt>
                <c:pt idx="26">
                  <c:v>0.49999999999999994</c:v>
                </c:pt>
                <c:pt idx="27">
                  <c:v>5.51316804708879E-16</c:v>
                </c:pt>
                <c:pt idx="28">
                  <c:v>-0.50000000000000056</c:v>
                </c:pt>
                <c:pt idx="29">
                  <c:v>-0.8660254037844386</c:v>
                </c:pt>
                <c:pt idx="30">
                  <c:v>-1</c:v>
                </c:pt>
                <c:pt idx="31">
                  <c:v>-0.86602540378443926</c:v>
                </c:pt>
                <c:pt idx="32">
                  <c:v>-0.50000000000000155</c:v>
                </c:pt>
                <c:pt idx="33">
                  <c:v>1.1025251892005095E-15</c:v>
                </c:pt>
                <c:pt idx="34">
                  <c:v>0.50000000000000044</c:v>
                </c:pt>
                <c:pt idx="35">
                  <c:v>0.8660254037844386</c:v>
                </c:pt>
                <c:pt idx="36">
                  <c:v>1</c:v>
                </c:pt>
                <c:pt idx="37">
                  <c:v>0.86602540378443937</c:v>
                </c:pt>
                <c:pt idx="38">
                  <c:v>0.50000000000000167</c:v>
                </c:pt>
                <c:pt idx="39">
                  <c:v>-9.8001034370964746E-16</c:v>
                </c:pt>
                <c:pt idx="40">
                  <c:v>-0.50000000000000033</c:v>
                </c:pt>
                <c:pt idx="41">
                  <c:v>-0.86602540378443849</c:v>
                </c:pt>
                <c:pt idx="42">
                  <c:v>-1</c:v>
                </c:pt>
                <c:pt idx="43">
                  <c:v>-0.86602540378443937</c:v>
                </c:pt>
                <c:pt idx="44">
                  <c:v>-0.50000000000000178</c:v>
                </c:pt>
                <c:pt idx="45">
                  <c:v>8.5749549821878546E-16</c:v>
                </c:pt>
                <c:pt idx="46">
                  <c:v>0.50000000000000022</c:v>
                </c:pt>
                <c:pt idx="47">
                  <c:v>0.86602540378443849</c:v>
                </c:pt>
                <c:pt idx="4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FF9-461D-A0FC-97AB32269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1200048"/>
        <c:axId val="681200528"/>
        <c:extLst/>
      </c:scatterChart>
      <c:valAx>
        <c:axId val="681200048"/>
        <c:scaling>
          <c:orientation val="minMax"/>
          <c:max val="72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200528"/>
        <c:crosses val="autoZero"/>
        <c:crossBetween val="midCat"/>
        <c:majorUnit val="25"/>
      </c:valAx>
      <c:valAx>
        <c:axId val="681200528"/>
        <c:scaling>
          <c:orientation val="minMax"/>
          <c:max val="6"/>
          <c:min val="-7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200048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042483899401821"/>
          <c:y val="1.3387990713645211E-2"/>
          <c:w val="0.14665260647599196"/>
          <c:h val="0.153760882513278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0075603923522981E-2"/>
          <c:y val="2.6707919180705881E-2"/>
          <c:w val="0.90885297559880995"/>
          <c:h val="0.952556300921804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'[1]sec cosec graph'!$C$1</c:f>
              <c:strCache>
                <c:ptCount val="1"/>
                <c:pt idx="0">
                  <c:v>sec x 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'[1]sec cosec graph'!$A$2:$A$50</c:f>
              <c:numCache>
                <c:formatCode>General</c:formatCode>
                <c:ptCount val="49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  <c:pt idx="25">
                  <c:v>375</c:v>
                </c:pt>
                <c:pt idx="26">
                  <c:v>390</c:v>
                </c:pt>
                <c:pt idx="27">
                  <c:v>405</c:v>
                </c:pt>
                <c:pt idx="28">
                  <c:v>420</c:v>
                </c:pt>
                <c:pt idx="29">
                  <c:v>435</c:v>
                </c:pt>
                <c:pt idx="30">
                  <c:v>450</c:v>
                </c:pt>
                <c:pt idx="31">
                  <c:v>465</c:v>
                </c:pt>
                <c:pt idx="32">
                  <c:v>480</c:v>
                </c:pt>
                <c:pt idx="33">
                  <c:v>495</c:v>
                </c:pt>
                <c:pt idx="34">
                  <c:v>510</c:v>
                </c:pt>
                <c:pt idx="35">
                  <c:v>525</c:v>
                </c:pt>
                <c:pt idx="36">
                  <c:v>540</c:v>
                </c:pt>
                <c:pt idx="37">
                  <c:v>555</c:v>
                </c:pt>
                <c:pt idx="38">
                  <c:v>570</c:v>
                </c:pt>
                <c:pt idx="39">
                  <c:v>585</c:v>
                </c:pt>
                <c:pt idx="40">
                  <c:v>600</c:v>
                </c:pt>
                <c:pt idx="41">
                  <c:v>615</c:v>
                </c:pt>
                <c:pt idx="42">
                  <c:v>630</c:v>
                </c:pt>
                <c:pt idx="43">
                  <c:v>645</c:v>
                </c:pt>
                <c:pt idx="44">
                  <c:v>660</c:v>
                </c:pt>
                <c:pt idx="45">
                  <c:v>675</c:v>
                </c:pt>
                <c:pt idx="46">
                  <c:v>690</c:v>
                </c:pt>
                <c:pt idx="47">
                  <c:v>705</c:v>
                </c:pt>
                <c:pt idx="48">
                  <c:v>720</c:v>
                </c:pt>
              </c:numCache>
            </c:numRef>
          </c:xVal>
          <c:yVal>
            <c:numRef>
              <c:f>'[1]sec cosec graph'!$C$2:$C$50</c:f>
              <c:numCache>
                <c:formatCode>General</c:formatCode>
                <c:ptCount val="49"/>
                <c:pt idx="0">
                  <c:v>1</c:v>
                </c:pt>
                <c:pt idx="1">
                  <c:v>1.035276180410083</c:v>
                </c:pt>
                <c:pt idx="2">
                  <c:v>1.1547005383792515</c:v>
                </c:pt>
                <c:pt idx="3">
                  <c:v>1.4142135623730949</c:v>
                </c:pt>
                <c:pt idx="4">
                  <c:v>1.9999999999999996</c:v>
                </c:pt>
                <c:pt idx="5">
                  <c:v>3.8637033051562737</c:v>
                </c:pt>
                <c:pt idx="6">
                  <c:v>1.6324552277619072E+16</c:v>
                </c:pt>
                <c:pt idx="7">
                  <c:v>-3.8637033051562719</c:v>
                </c:pt>
                <c:pt idx="8">
                  <c:v>-2.0000000000000009</c:v>
                </c:pt>
                <c:pt idx="9">
                  <c:v>-1.4142135623730951</c:v>
                </c:pt>
                <c:pt idx="10">
                  <c:v>-1.1547005383792515</c:v>
                </c:pt>
                <c:pt idx="11">
                  <c:v>-1.0352761804100832</c:v>
                </c:pt>
                <c:pt idx="12">
                  <c:v>-1</c:v>
                </c:pt>
                <c:pt idx="13">
                  <c:v>-1.035276180410083</c:v>
                </c:pt>
                <c:pt idx="14">
                  <c:v>-1.1547005383792517</c:v>
                </c:pt>
                <c:pt idx="15">
                  <c:v>-1.4142135623730947</c:v>
                </c:pt>
                <c:pt idx="16">
                  <c:v>-1.9999999999999982</c:v>
                </c:pt>
                <c:pt idx="17">
                  <c:v>-3.863703305156275</c:v>
                </c:pt>
                <c:pt idx="18">
                  <c:v>-5441517425873024</c:v>
                </c:pt>
                <c:pt idx="19">
                  <c:v>3.8637033051562799</c:v>
                </c:pt>
                <c:pt idx="20">
                  <c:v>1.9999999999999996</c:v>
                </c:pt>
                <c:pt idx="21">
                  <c:v>1.4142135623730954</c:v>
                </c:pt>
                <c:pt idx="22">
                  <c:v>1.1547005383792519</c:v>
                </c:pt>
                <c:pt idx="23">
                  <c:v>1.035276180410083</c:v>
                </c:pt>
                <c:pt idx="24">
                  <c:v>1</c:v>
                </c:pt>
                <c:pt idx="25">
                  <c:v>1.035276180410083</c:v>
                </c:pt>
                <c:pt idx="26">
                  <c:v>1.1547005383792517</c:v>
                </c:pt>
                <c:pt idx="27">
                  <c:v>1.4142135623730947</c:v>
                </c:pt>
                <c:pt idx="28">
                  <c:v>2.0000000000000009</c:v>
                </c:pt>
                <c:pt idx="29">
                  <c:v>3.8637033051562737</c:v>
                </c:pt>
                <c:pt idx="30">
                  <c:v>3264910455523814.5</c:v>
                </c:pt>
                <c:pt idx="31">
                  <c:v>-3.8637033051562817</c:v>
                </c:pt>
                <c:pt idx="32">
                  <c:v>-2.0000000000000031</c:v>
                </c:pt>
                <c:pt idx="33">
                  <c:v>-1.4142135623730943</c:v>
                </c:pt>
                <c:pt idx="34">
                  <c:v>-1.1547005383792512</c:v>
                </c:pt>
                <c:pt idx="35">
                  <c:v>-1.035276180410083</c:v>
                </c:pt>
                <c:pt idx="36">
                  <c:v>-1</c:v>
                </c:pt>
                <c:pt idx="37">
                  <c:v>-1.035276180410083</c:v>
                </c:pt>
                <c:pt idx="38">
                  <c:v>-1.1547005383792508</c:v>
                </c:pt>
                <c:pt idx="39">
                  <c:v>-1.4142135623730958</c:v>
                </c:pt>
                <c:pt idx="40">
                  <c:v>-2.0000000000000009</c:v>
                </c:pt>
                <c:pt idx="41">
                  <c:v>-3.863703305156271</c:v>
                </c:pt>
                <c:pt idx="42">
                  <c:v>-2332078896802724.5</c:v>
                </c:pt>
                <c:pt idx="43">
                  <c:v>3.8637033051562835</c:v>
                </c:pt>
                <c:pt idx="44">
                  <c:v>2.0000000000000036</c:v>
                </c:pt>
                <c:pt idx="45">
                  <c:v>1.4142135623730945</c:v>
                </c:pt>
                <c:pt idx="46">
                  <c:v>1.1547005383792515</c:v>
                </c:pt>
                <c:pt idx="47">
                  <c:v>1.0352761804100832</c:v>
                </c:pt>
                <c:pt idx="4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C7-4E64-BC1D-2801198E4547}"/>
            </c:ext>
          </c:extLst>
        </c:ser>
        <c:ser>
          <c:idx val="1"/>
          <c:order val="1"/>
          <c:tx>
            <c:strRef>
              <c:f>'csc sine'!$E$1</c:f>
              <c:strCache>
                <c:ptCount val="1"/>
                <c:pt idx="0">
                  <c:v>sine  x 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Pt>
            <c:idx val="12"/>
            <c:marker>
              <c:symbol val="circle"/>
              <c:size val="13"/>
              <c:spPr>
                <a:solidFill>
                  <a:schemeClr val="tx1"/>
                </a:solidFill>
                <a:ln w="9525" cap="rnd">
                  <a:solidFill>
                    <a:schemeClr val="bg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bg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58C7-4E64-BC1D-2801198E4547}"/>
              </c:ext>
            </c:extLst>
          </c:dPt>
          <c:dPt>
            <c:idx val="24"/>
            <c:marker>
              <c:symbol val="diamond"/>
              <c:size val="16"/>
              <c:spPr>
                <a:solidFill>
                  <a:srgbClr val="00FF00"/>
                </a:solidFill>
                <a:ln w="9525" cap="rnd">
                  <a:solidFill>
                    <a:schemeClr val="accent2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58C7-4E64-BC1D-2801198E4547}"/>
              </c:ext>
            </c:extLst>
          </c:dPt>
          <c:xVal>
            <c:numRef>
              <c:f>'csc sine'!$A$2:$A$50</c:f>
              <c:numCache>
                <c:formatCode>General</c:formatCode>
                <c:ptCount val="49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  <c:pt idx="25">
                  <c:v>375</c:v>
                </c:pt>
                <c:pt idx="26">
                  <c:v>390</c:v>
                </c:pt>
                <c:pt idx="27">
                  <c:v>405</c:v>
                </c:pt>
                <c:pt idx="28">
                  <c:v>420</c:v>
                </c:pt>
                <c:pt idx="29">
                  <c:v>435</c:v>
                </c:pt>
                <c:pt idx="30">
                  <c:v>450</c:v>
                </c:pt>
                <c:pt idx="31">
                  <c:v>465</c:v>
                </c:pt>
                <c:pt idx="32">
                  <c:v>480</c:v>
                </c:pt>
                <c:pt idx="33">
                  <c:v>495</c:v>
                </c:pt>
                <c:pt idx="34">
                  <c:v>510</c:v>
                </c:pt>
                <c:pt idx="35">
                  <c:v>525</c:v>
                </c:pt>
                <c:pt idx="36">
                  <c:v>540</c:v>
                </c:pt>
                <c:pt idx="37">
                  <c:v>555</c:v>
                </c:pt>
                <c:pt idx="38">
                  <c:v>570</c:v>
                </c:pt>
                <c:pt idx="39">
                  <c:v>585</c:v>
                </c:pt>
                <c:pt idx="40">
                  <c:v>600</c:v>
                </c:pt>
                <c:pt idx="41">
                  <c:v>615</c:v>
                </c:pt>
                <c:pt idx="42">
                  <c:v>630</c:v>
                </c:pt>
                <c:pt idx="43">
                  <c:v>645</c:v>
                </c:pt>
                <c:pt idx="44">
                  <c:v>660</c:v>
                </c:pt>
                <c:pt idx="45">
                  <c:v>675</c:v>
                </c:pt>
                <c:pt idx="46">
                  <c:v>690</c:v>
                </c:pt>
                <c:pt idx="47">
                  <c:v>705</c:v>
                </c:pt>
                <c:pt idx="48">
                  <c:v>720</c:v>
                </c:pt>
              </c:numCache>
            </c:numRef>
          </c:xVal>
          <c:yVal>
            <c:numRef>
              <c:f>'csc sine'!$E$2:$E$50</c:f>
              <c:numCache>
                <c:formatCode>General</c:formatCode>
                <c:ptCount val="49"/>
                <c:pt idx="0">
                  <c:v>0</c:v>
                </c:pt>
                <c:pt idx="1">
                  <c:v>0.25881904510252074</c:v>
                </c:pt>
                <c:pt idx="2">
                  <c:v>0.49999999999999994</c:v>
                </c:pt>
                <c:pt idx="3">
                  <c:v>0.70710678118654746</c:v>
                </c:pt>
                <c:pt idx="4">
                  <c:v>0.8660254037844386</c:v>
                </c:pt>
                <c:pt idx="5">
                  <c:v>0.96592582628906831</c:v>
                </c:pt>
                <c:pt idx="6">
                  <c:v>1</c:v>
                </c:pt>
                <c:pt idx="7">
                  <c:v>0.96592582628906831</c:v>
                </c:pt>
                <c:pt idx="8">
                  <c:v>0.86602540378443871</c:v>
                </c:pt>
                <c:pt idx="9">
                  <c:v>0.70710678118654757</c:v>
                </c:pt>
                <c:pt idx="10">
                  <c:v>0.49999999999999994</c:v>
                </c:pt>
                <c:pt idx="11">
                  <c:v>0.25881904510252102</c:v>
                </c:pt>
                <c:pt idx="12">
                  <c:v>1.22514845490862E-16</c:v>
                </c:pt>
                <c:pt idx="13">
                  <c:v>-0.25881904510252079</c:v>
                </c:pt>
                <c:pt idx="14">
                  <c:v>-0.50000000000000011</c:v>
                </c:pt>
                <c:pt idx="15">
                  <c:v>-0.70710678118654746</c:v>
                </c:pt>
                <c:pt idx="16">
                  <c:v>-0.86602540378443837</c:v>
                </c:pt>
                <c:pt idx="17">
                  <c:v>-0.96592582628906831</c:v>
                </c:pt>
                <c:pt idx="18">
                  <c:v>-1</c:v>
                </c:pt>
                <c:pt idx="19">
                  <c:v>-0.96592582628906842</c:v>
                </c:pt>
                <c:pt idx="20">
                  <c:v>-0.8660254037844386</c:v>
                </c:pt>
                <c:pt idx="21">
                  <c:v>-0.70710678118654768</c:v>
                </c:pt>
                <c:pt idx="22">
                  <c:v>-0.50000000000000044</c:v>
                </c:pt>
                <c:pt idx="23">
                  <c:v>-0.25881904510252068</c:v>
                </c:pt>
                <c:pt idx="24">
                  <c:v>-2.45029690981724E-16</c:v>
                </c:pt>
                <c:pt idx="25">
                  <c:v>0.25881904510252024</c:v>
                </c:pt>
                <c:pt idx="26">
                  <c:v>0.5</c:v>
                </c:pt>
                <c:pt idx="27">
                  <c:v>0.70710678118654735</c:v>
                </c:pt>
                <c:pt idx="28">
                  <c:v>0.86602540378443882</c:v>
                </c:pt>
                <c:pt idx="29">
                  <c:v>0.96592582628906831</c:v>
                </c:pt>
                <c:pt idx="30">
                  <c:v>1</c:v>
                </c:pt>
                <c:pt idx="31">
                  <c:v>0.96592582628906842</c:v>
                </c:pt>
                <c:pt idx="32">
                  <c:v>0.86602540378443915</c:v>
                </c:pt>
                <c:pt idx="33">
                  <c:v>0.70710678118654713</c:v>
                </c:pt>
                <c:pt idx="34">
                  <c:v>0.49999999999999978</c:v>
                </c:pt>
                <c:pt idx="35">
                  <c:v>0.25881904510252079</c:v>
                </c:pt>
                <c:pt idx="36">
                  <c:v>3.67544536472586E-16</c:v>
                </c:pt>
                <c:pt idx="37">
                  <c:v>-0.25881904510252013</c:v>
                </c:pt>
                <c:pt idx="38">
                  <c:v>-0.49999999999999917</c:v>
                </c:pt>
                <c:pt idx="39">
                  <c:v>-0.70710678118654791</c:v>
                </c:pt>
                <c:pt idx="40">
                  <c:v>-0.86602540378443871</c:v>
                </c:pt>
                <c:pt idx="41">
                  <c:v>-0.9659258262890682</c:v>
                </c:pt>
                <c:pt idx="42">
                  <c:v>-1</c:v>
                </c:pt>
                <c:pt idx="43">
                  <c:v>-0.96592582628906842</c:v>
                </c:pt>
                <c:pt idx="44">
                  <c:v>-0.86602540378443915</c:v>
                </c:pt>
                <c:pt idx="45">
                  <c:v>-0.70710678118654724</c:v>
                </c:pt>
                <c:pt idx="46">
                  <c:v>-0.49999999999999989</c:v>
                </c:pt>
                <c:pt idx="47">
                  <c:v>-0.25881904510252096</c:v>
                </c:pt>
                <c:pt idx="48">
                  <c:v>-4.90059381963448E-16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8C7-4E64-BC1D-2801198E4547}"/>
            </c:ext>
          </c:extLst>
        </c:ser>
        <c:ser>
          <c:idx val="2"/>
          <c:order val="2"/>
          <c:tx>
            <c:strRef>
              <c:f>'[1]sec cosec graph'!$D$1</c:f>
              <c:strCache>
                <c:ptCount val="1"/>
                <c:pt idx="0">
                  <c:v>y=2*sin(𝜃)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'[1]sec cosec graph'!$A$2:$A$50</c:f>
              <c:numCache>
                <c:formatCode>General</c:formatCode>
                <c:ptCount val="49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  <c:pt idx="25">
                  <c:v>375</c:v>
                </c:pt>
                <c:pt idx="26">
                  <c:v>390</c:v>
                </c:pt>
                <c:pt idx="27">
                  <c:v>405</c:v>
                </c:pt>
                <c:pt idx="28">
                  <c:v>420</c:v>
                </c:pt>
                <c:pt idx="29">
                  <c:v>435</c:v>
                </c:pt>
                <c:pt idx="30">
                  <c:v>450</c:v>
                </c:pt>
                <c:pt idx="31">
                  <c:v>465</c:v>
                </c:pt>
                <c:pt idx="32">
                  <c:v>480</c:v>
                </c:pt>
                <c:pt idx="33">
                  <c:v>495</c:v>
                </c:pt>
                <c:pt idx="34">
                  <c:v>510</c:v>
                </c:pt>
                <c:pt idx="35">
                  <c:v>525</c:v>
                </c:pt>
                <c:pt idx="36">
                  <c:v>540</c:v>
                </c:pt>
                <c:pt idx="37">
                  <c:v>555</c:v>
                </c:pt>
                <c:pt idx="38">
                  <c:v>570</c:v>
                </c:pt>
                <c:pt idx="39">
                  <c:v>585</c:v>
                </c:pt>
                <c:pt idx="40">
                  <c:v>600</c:v>
                </c:pt>
                <c:pt idx="41">
                  <c:v>615</c:v>
                </c:pt>
                <c:pt idx="42">
                  <c:v>630</c:v>
                </c:pt>
                <c:pt idx="43">
                  <c:v>645</c:v>
                </c:pt>
                <c:pt idx="44">
                  <c:v>660</c:v>
                </c:pt>
                <c:pt idx="45">
                  <c:v>675</c:v>
                </c:pt>
                <c:pt idx="46">
                  <c:v>690</c:v>
                </c:pt>
                <c:pt idx="47">
                  <c:v>705</c:v>
                </c:pt>
                <c:pt idx="48">
                  <c:v>720</c:v>
                </c:pt>
              </c:numCache>
            </c:numRef>
          </c:xVal>
          <c:yVal>
            <c:numRef>
              <c:f>'[1]sec cosec graph'!$D$2:$D$50</c:f>
              <c:numCache>
                <c:formatCode>General</c:formatCode>
                <c:ptCount val="49"/>
                <c:pt idx="0">
                  <c:v>0</c:v>
                </c:pt>
                <c:pt idx="1">
                  <c:v>0.51763809020504148</c:v>
                </c:pt>
                <c:pt idx="2">
                  <c:v>0.99999999999999989</c:v>
                </c:pt>
                <c:pt idx="3">
                  <c:v>1.4142135623730949</c:v>
                </c:pt>
                <c:pt idx="4">
                  <c:v>1.7320508075688772</c:v>
                </c:pt>
                <c:pt idx="5">
                  <c:v>1.9318516525781366</c:v>
                </c:pt>
                <c:pt idx="6">
                  <c:v>2</c:v>
                </c:pt>
                <c:pt idx="7">
                  <c:v>1.9318516525781366</c:v>
                </c:pt>
                <c:pt idx="8">
                  <c:v>1.7320508075688774</c:v>
                </c:pt>
                <c:pt idx="9">
                  <c:v>1.4142135623730951</c:v>
                </c:pt>
                <c:pt idx="10">
                  <c:v>0.99999999999999989</c:v>
                </c:pt>
                <c:pt idx="11">
                  <c:v>0.51763809020504203</c:v>
                </c:pt>
                <c:pt idx="12">
                  <c:v>2.45029690981724E-16</c:v>
                </c:pt>
                <c:pt idx="13">
                  <c:v>-0.51763809020504159</c:v>
                </c:pt>
                <c:pt idx="14">
                  <c:v>-1.0000000000000002</c:v>
                </c:pt>
                <c:pt idx="15">
                  <c:v>-1.4142135623730949</c:v>
                </c:pt>
                <c:pt idx="16">
                  <c:v>-1.7320508075688767</c:v>
                </c:pt>
                <c:pt idx="17">
                  <c:v>-1.9318516525781366</c:v>
                </c:pt>
                <c:pt idx="18">
                  <c:v>-2</c:v>
                </c:pt>
                <c:pt idx="19">
                  <c:v>-1.9318516525781368</c:v>
                </c:pt>
                <c:pt idx="20">
                  <c:v>-1.7320508075688772</c:v>
                </c:pt>
                <c:pt idx="21">
                  <c:v>-1.4142135623730954</c:v>
                </c:pt>
                <c:pt idx="22">
                  <c:v>-1.0000000000000009</c:v>
                </c:pt>
                <c:pt idx="23">
                  <c:v>-0.51763809020504137</c:v>
                </c:pt>
                <c:pt idx="24">
                  <c:v>-4.90059381963448E-16</c:v>
                </c:pt>
                <c:pt idx="25">
                  <c:v>0.51763809020504048</c:v>
                </c:pt>
                <c:pt idx="26">
                  <c:v>1</c:v>
                </c:pt>
                <c:pt idx="27">
                  <c:v>1.4142135623730947</c:v>
                </c:pt>
                <c:pt idx="28">
                  <c:v>1.7320508075688776</c:v>
                </c:pt>
                <c:pt idx="29">
                  <c:v>1.9318516525781366</c:v>
                </c:pt>
                <c:pt idx="30">
                  <c:v>2</c:v>
                </c:pt>
                <c:pt idx="31">
                  <c:v>1.9318516525781368</c:v>
                </c:pt>
                <c:pt idx="32">
                  <c:v>1.7320508075688783</c:v>
                </c:pt>
                <c:pt idx="33">
                  <c:v>1.4142135623730943</c:v>
                </c:pt>
                <c:pt idx="34">
                  <c:v>0.99999999999999956</c:v>
                </c:pt>
                <c:pt idx="35">
                  <c:v>0.51763809020504159</c:v>
                </c:pt>
                <c:pt idx="36">
                  <c:v>7.3508907294517201E-16</c:v>
                </c:pt>
                <c:pt idx="37">
                  <c:v>-0.51763809020504026</c:v>
                </c:pt>
                <c:pt idx="38">
                  <c:v>-0.99999999999999833</c:v>
                </c:pt>
                <c:pt idx="39">
                  <c:v>-1.4142135623730958</c:v>
                </c:pt>
                <c:pt idx="40">
                  <c:v>-1.7320508075688774</c:v>
                </c:pt>
                <c:pt idx="41">
                  <c:v>-1.9318516525781364</c:v>
                </c:pt>
                <c:pt idx="42">
                  <c:v>-2</c:v>
                </c:pt>
                <c:pt idx="43">
                  <c:v>-1.9318516525781368</c:v>
                </c:pt>
                <c:pt idx="44">
                  <c:v>-1.7320508075688783</c:v>
                </c:pt>
                <c:pt idx="45">
                  <c:v>-1.4142135623730945</c:v>
                </c:pt>
                <c:pt idx="46">
                  <c:v>-0.99999999999999978</c:v>
                </c:pt>
                <c:pt idx="47">
                  <c:v>-0.51763809020504192</c:v>
                </c:pt>
                <c:pt idx="48">
                  <c:v>-9.8011876392689601E-16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8C7-4E64-BC1D-2801198E4547}"/>
            </c:ext>
          </c:extLst>
        </c:ser>
        <c:ser>
          <c:idx val="3"/>
          <c:order val="3"/>
          <c:tx>
            <c:strRef>
              <c:f>'csc sine'!$F$1</c:f>
              <c:strCache>
                <c:ptCount val="1"/>
                <c:pt idx="0">
                  <c:v>csc x</c:v>
                </c:pt>
              </c:strCache>
            </c:strRef>
          </c:tx>
          <c:spPr>
            <a:ln w="95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Pt>
            <c:idx val="6"/>
            <c:marker>
              <c:symbol val="circle"/>
              <c:size val="6"/>
              <c:spPr>
                <a:gradFill rotWithShape="1">
                  <a:gsLst>
                    <a:gs pos="0">
                      <a:schemeClr val="accent4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 cap="rnd">
                  <a:solidFill>
                    <a:schemeClr val="accent4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58C7-4E64-BC1D-2801198E4547}"/>
              </c:ext>
            </c:extLst>
          </c:dPt>
          <c:dPt>
            <c:idx val="7"/>
            <c:marker>
              <c:symbol val="circle"/>
              <c:size val="6"/>
              <c:spPr>
                <a:gradFill rotWithShape="1">
                  <a:gsLst>
                    <a:gs pos="0">
                      <a:schemeClr val="accent4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 cap="rnd">
                  <a:solidFill>
                    <a:schemeClr val="accent4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58C7-4E64-BC1D-2801198E4547}"/>
              </c:ext>
            </c:extLst>
          </c:dPt>
          <c:dPt>
            <c:idx val="18"/>
            <c:marker>
              <c:symbol val="circle"/>
              <c:size val="6"/>
              <c:spPr>
                <a:gradFill rotWithShape="1">
                  <a:gsLst>
                    <a:gs pos="0">
                      <a:schemeClr val="accent4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 cap="rnd">
                  <a:solidFill>
                    <a:schemeClr val="accent4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58C7-4E64-BC1D-2801198E4547}"/>
              </c:ext>
            </c:extLst>
          </c:dPt>
          <c:dPt>
            <c:idx val="19"/>
            <c:marker>
              <c:symbol val="circle"/>
              <c:size val="6"/>
              <c:spPr>
                <a:gradFill rotWithShape="1">
                  <a:gsLst>
                    <a:gs pos="0">
                      <a:schemeClr val="accent4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 cap="rnd">
                  <a:solidFill>
                    <a:schemeClr val="accent4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58C7-4E64-BC1D-2801198E4547}"/>
              </c:ext>
            </c:extLst>
          </c:dPt>
          <c:xVal>
            <c:numRef>
              <c:f>'csc sine'!$A$2:$A$50</c:f>
              <c:numCache>
                <c:formatCode>General</c:formatCode>
                <c:ptCount val="49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  <c:pt idx="25">
                  <c:v>375</c:v>
                </c:pt>
                <c:pt idx="26">
                  <c:v>390</c:v>
                </c:pt>
                <c:pt idx="27">
                  <c:v>405</c:v>
                </c:pt>
                <c:pt idx="28">
                  <c:v>420</c:v>
                </c:pt>
                <c:pt idx="29">
                  <c:v>435</c:v>
                </c:pt>
                <c:pt idx="30">
                  <c:v>450</c:v>
                </c:pt>
                <c:pt idx="31">
                  <c:v>465</c:v>
                </c:pt>
                <c:pt idx="32">
                  <c:v>480</c:v>
                </c:pt>
                <c:pt idx="33">
                  <c:v>495</c:v>
                </c:pt>
                <c:pt idx="34">
                  <c:v>510</c:v>
                </c:pt>
                <c:pt idx="35">
                  <c:v>525</c:v>
                </c:pt>
                <c:pt idx="36">
                  <c:v>540</c:v>
                </c:pt>
                <c:pt idx="37">
                  <c:v>555</c:v>
                </c:pt>
                <c:pt idx="38">
                  <c:v>570</c:v>
                </c:pt>
                <c:pt idx="39">
                  <c:v>585</c:v>
                </c:pt>
                <c:pt idx="40">
                  <c:v>600</c:v>
                </c:pt>
                <c:pt idx="41">
                  <c:v>615</c:v>
                </c:pt>
                <c:pt idx="42">
                  <c:v>630</c:v>
                </c:pt>
                <c:pt idx="43">
                  <c:v>645</c:v>
                </c:pt>
                <c:pt idx="44">
                  <c:v>660</c:v>
                </c:pt>
                <c:pt idx="45">
                  <c:v>675</c:v>
                </c:pt>
                <c:pt idx="46">
                  <c:v>690</c:v>
                </c:pt>
                <c:pt idx="47">
                  <c:v>705</c:v>
                </c:pt>
                <c:pt idx="48">
                  <c:v>720</c:v>
                </c:pt>
              </c:numCache>
            </c:numRef>
          </c:xVal>
          <c:yVal>
            <c:numRef>
              <c:f>'csc sine'!$F$2:$F$50</c:f>
              <c:numCache>
                <c:formatCode>General</c:formatCode>
                <c:ptCount val="49"/>
                <c:pt idx="0">
                  <c:v>0</c:v>
                </c:pt>
                <c:pt idx="1">
                  <c:v>3.8637033051562737</c:v>
                </c:pt>
                <c:pt idx="2">
                  <c:v>2</c:v>
                </c:pt>
                <c:pt idx="3">
                  <c:v>1.4142135623730951</c:v>
                </c:pt>
                <c:pt idx="4">
                  <c:v>1.1547005383792517</c:v>
                </c:pt>
                <c:pt idx="5">
                  <c:v>1.035276180410083</c:v>
                </c:pt>
                <c:pt idx="6">
                  <c:v>1</c:v>
                </c:pt>
                <c:pt idx="7">
                  <c:v>1.035276180410083</c:v>
                </c:pt>
                <c:pt idx="8">
                  <c:v>1.1547005383792515</c:v>
                </c:pt>
                <c:pt idx="9">
                  <c:v>1.4142135623730949</c:v>
                </c:pt>
                <c:pt idx="10">
                  <c:v>2</c:v>
                </c:pt>
                <c:pt idx="11">
                  <c:v>3.8637033051562693</c:v>
                </c:pt>
                <c:pt idx="12">
                  <c:v>8162276138809536</c:v>
                </c:pt>
                <c:pt idx="13">
                  <c:v>-3.8637033051562728</c:v>
                </c:pt>
                <c:pt idx="14">
                  <c:v>-1.9999999999999996</c:v>
                </c:pt>
                <c:pt idx="15">
                  <c:v>-1.4142135623730951</c:v>
                </c:pt>
                <c:pt idx="16">
                  <c:v>-1.1547005383792519</c:v>
                </c:pt>
                <c:pt idx="17">
                  <c:v>-1.035276180410083</c:v>
                </c:pt>
                <c:pt idx="18">
                  <c:v>-1</c:v>
                </c:pt>
                <c:pt idx="19">
                  <c:v>-1.035276180410083</c:v>
                </c:pt>
                <c:pt idx="20">
                  <c:v>-1.1547005383792517</c:v>
                </c:pt>
                <c:pt idx="21">
                  <c:v>-1.4142135623730947</c:v>
                </c:pt>
                <c:pt idx="22">
                  <c:v>-1.9999999999999982</c:v>
                </c:pt>
                <c:pt idx="23">
                  <c:v>-3.8637033051562741</c:v>
                </c:pt>
                <c:pt idx="24">
                  <c:v>-4081138069404768</c:v>
                </c:pt>
                <c:pt idx="25">
                  <c:v>3.8637033051562808</c:v>
                </c:pt>
                <c:pt idx="26">
                  <c:v>2</c:v>
                </c:pt>
                <c:pt idx="27">
                  <c:v>1.4142135623730954</c:v>
                </c:pt>
                <c:pt idx="28">
                  <c:v>1.1547005383792512</c:v>
                </c:pt>
                <c:pt idx="29">
                  <c:v>1.035276180410083</c:v>
                </c:pt>
                <c:pt idx="30">
                  <c:v>1</c:v>
                </c:pt>
                <c:pt idx="31">
                  <c:v>1.035276180410083</c:v>
                </c:pt>
                <c:pt idx="32">
                  <c:v>1.1547005383792508</c:v>
                </c:pt>
                <c:pt idx="33">
                  <c:v>1.4142135623730958</c:v>
                </c:pt>
                <c:pt idx="34">
                  <c:v>2.0000000000000009</c:v>
                </c:pt>
                <c:pt idx="35">
                  <c:v>3.8637033051562728</c:v>
                </c:pt>
                <c:pt idx="36">
                  <c:v>2720758712936512</c:v>
                </c:pt>
                <c:pt idx="37">
                  <c:v>-3.8637033051562826</c:v>
                </c:pt>
                <c:pt idx="38">
                  <c:v>-2.0000000000000036</c:v>
                </c:pt>
                <c:pt idx="39">
                  <c:v>-1.4142135623730943</c:v>
                </c:pt>
                <c:pt idx="40">
                  <c:v>-1.1547005383792515</c:v>
                </c:pt>
                <c:pt idx="41">
                  <c:v>-1.0352761804100832</c:v>
                </c:pt>
                <c:pt idx="42">
                  <c:v>-1</c:v>
                </c:pt>
                <c:pt idx="43">
                  <c:v>-1.035276180410083</c:v>
                </c:pt>
                <c:pt idx="44">
                  <c:v>-1.1547005383792508</c:v>
                </c:pt>
                <c:pt idx="45">
                  <c:v>-1.4142135623730956</c:v>
                </c:pt>
                <c:pt idx="46">
                  <c:v>-2.0000000000000004</c:v>
                </c:pt>
                <c:pt idx="47">
                  <c:v>-3.8637033051562701</c:v>
                </c:pt>
                <c:pt idx="48">
                  <c:v>-2040569034702384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8C7-4E64-BC1D-2801198E4547}"/>
            </c:ext>
          </c:extLst>
        </c:ser>
        <c:ser>
          <c:idx val="4"/>
          <c:order val="4"/>
          <c:tx>
            <c:strRef>
              <c:f>'[1]sec cosec graph'!$G$1</c:f>
              <c:strCache>
                <c:ptCount val="1"/>
              </c:strCache>
            </c:strRef>
          </c:tx>
          <c:spPr>
            <a:ln w="95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'[1]sec cosec graph'!$A$2:$A$50</c:f>
              <c:numCache>
                <c:formatCode>General</c:formatCode>
                <c:ptCount val="49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  <c:pt idx="25">
                  <c:v>375</c:v>
                </c:pt>
                <c:pt idx="26">
                  <c:v>390</c:v>
                </c:pt>
                <c:pt idx="27">
                  <c:v>405</c:v>
                </c:pt>
                <c:pt idx="28">
                  <c:v>420</c:v>
                </c:pt>
                <c:pt idx="29">
                  <c:v>435</c:v>
                </c:pt>
                <c:pt idx="30">
                  <c:v>450</c:v>
                </c:pt>
                <c:pt idx="31">
                  <c:v>465</c:v>
                </c:pt>
                <c:pt idx="32">
                  <c:v>480</c:v>
                </c:pt>
                <c:pt idx="33">
                  <c:v>495</c:v>
                </c:pt>
                <c:pt idx="34">
                  <c:v>510</c:v>
                </c:pt>
                <c:pt idx="35">
                  <c:v>525</c:v>
                </c:pt>
                <c:pt idx="36">
                  <c:v>540</c:v>
                </c:pt>
                <c:pt idx="37">
                  <c:v>555</c:v>
                </c:pt>
                <c:pt idx="38">
                  <c:v>570</c:v>
                </c:pt>
                <c:pt idx="39">
                  <c:v>585</c:v>
                </c:pt>
                <c:pt idx="40">
                  <c:v>600</c:v>
                </c:pt>
                <c:pt idx="41">
                  <c:v>615</c:v>
                </c:pt>
                <c:pt idx="42">
                  <c:v>630</c:v>
                </c:pt>
                <c:pt idx="43">
                  <c:v>645</c:v>
                </c:pt>
                <c:pt idx="44">
                  <c:v>660</c:v>
                </c:pt>
                <c:pt idx="45">
                  <c:v>675</c:v>
                </c:pt>
                <c:pt idx="46">
                  <c:v>690</c:v>
                </c:pt>
                <c:pt idx="47">
                  <c:v>705</c:v>
                </c:pt>
                <c:pt idx="48">
                  <c:v>720</c:v>
                </c:pt>
              </c:numCache>
            </c:numRef>
          </c:xVal>
          <c:yVal>
            <c:numRef>
              <c:f>'[1]sec cosec graph'!$G$2:$G$50</c:f>
              <c:numCache>
                <c:formatCode>General</c:formatCode>
                <c:ptCount val="49"/>
                <c:pt idx="0">
                  <c:v>0</c:v>
                </c:pt>
                <c:pt idx="1">
                  <c:v>0.49999999999999994</c:v>
                </c:pt>
                <c:pt idx="2">
                  <c:v>0.8660254037844386</c:v>
                </c:pt>
                <c:pt idx="3">
                  <c:v>1</c:v>
                </c:pt>
                <c:pt idx="4">
                  <c:v>0.86602540378443871</c:v>
                </c:pt>
                <c:pt idx="5">
                  <c:v>0.49999999999999994</c:v>
                </c:pt>
                <c:pt idx="6">
                  <c:v>1.22514845490862E-16</c:v>
                </c:pt>
                <c:pt idx="7">
                  <c:v>-0.50000000000000011</c:v>
                </c:pt>
                <c:pt idx="8">
                  <c:v>-0.86602540378443837</c:v>
                </c:pt>
                <c:pt idx="9">
                  <c:v>-1</c:v>
                </c:pt>
                <c:pt idx="10">
                  <c:v>-0.8660254037844386</c:v>
                </c:pt>
                <c:pt idx="11">
                  <c:v>-0.50000000000000044</c:v>
                </c:pt>
                <c:pt idx="12">
                  <c:v>-2.45029690981724E-16</c:v>
                </c:pt>
                <c:pt idx="13">
                  <c:v>0.5</c:v>
                </c:pt>
                <c:pt idx="14">
                  <c:v>0.86602540378443882</c:v>
                </c:pt>
                <c:pt idx="15">
                  <c:v>1</c:v>
                </c:pt>
                <c:pt idx="16">
                  <c:v>0.86602540378443915</c:v>
                </c:pt>
                <c:pt idx="17">
                  <c:v>0.49999999999999978</c:v>
                </c:pt>
                <c:pt idx="18">
                  <c:v>3.67544536472586E-16</c:v>
                </c:pt>
                <c:pt idx="19">
                  <c:v>-0.49999999999999917</c:v>
                </c:pt>
                <c:pt idx="20">
                  <c:v>-0.86602540378443871</c:v>
                </c:pt>
                <c:pt idx="21">
                  <c:v>-1</c:v>
                </c:pt>
                <c:pt idx="22">
                  <c:v>-0.86602540378443915</c:v>
                </c:pt>
                <c:pt idx="23">
                  <c:v>-0.49999999999999989</c:v>
                </c:pt>
                <c:pt idx="24">
                  <c:v>-4.90059381963448E-16</c:v>
                </c:pt>
                <c:pt idx="25">
                  <c:v>0.49999999999999906</c:v>
                </c:pt>
                <c:pt idx="26">
                  <c:v>0.86602540378443871</c:v>
                </c:pt>
                <c:pt idx="27">
                  <c:v>1</c:v>
                </c:pt>
                <c:pt idx="28">
                  <c:v>0.86602540378443837</c:v>
                </c:pt>
                <c:pt idx="29">
                  <c:v>0.5</c:v>
                </c:pt>
                <c:pt idx="30">
                  <c:v>6.1257422745431001E-16</c:v>
                </c:pt>
                <c:pt idx="31">
                  <c:v>-0.49999999999999895</c:v>
                </c:pt>
                <c:pt idx="32">
                  <c:v>-0.86602540378443771</c:v>
                </c:pt>
                <c:pt idx="33">
                  <c:v>-1</c:v>
                </c:pt>
                <c:pt idx="34">
                  <c:v>-0.86602540378443837</c:v>
                </c:pt>
                <c:pt idx="35">
                  <c:v>-0.50000000000000011</c:v>
                </c:pt>
                <c:pt idx="36">
                  <c:v>-7.3508907294517201E-16</c:v>
                </c:pt>
                <c:pt idx="37">
                  <c:v>0.49999999999999883</c:v>
                </c:pt>
                <c:pt idx="38">
                  <c:v>0.86602540378443771</c:v>
                </c:pt>
                <c:pt idx="39">
                  <c:v>1</c:v>
                </c:pt>
                <c:pt idx="40">
                  <c:v>0.86602540378443849</c:v>
                </c:pt>
                <c:pt idx="41">
                  <c:v>0.50000000000000022</c:v>
                </c:pt>
                <c:pt idx="42">
                  <c:v>8.5760391843603401E-16</c:v>
                </c:pt>
                <c:pt idx="43">
                  <c:v>-0.49999999999999872</c:v>
                </c:pt>
                <c:pt idx="44">
                  <c:v>-0.8660254037844376</c:v>
                </c:pt>
                <c:pt idx="45">
                  <c:v>-1</c:v>
                </c:pt>
                <c:pt idx="46">
                  <c:v>-0.86602540378443849</c:v>
                </c:pt>
                <c:pt idx="47">
                  <c:v>-0.50000000000000033</c:v>
                </c:pt>
                <c:pt idx="48">
                  <c:v>-9.8011876392689601E-16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58C7-4E64-BC1D-2801198E4547}"/>
            </c:ext>
          </c:extLst>
        </c:ser>
        <c:ser>
          <c:idx val="5"/>
          <c:order val="5"/>
          <c:tx>
            <c:strRef>
              <c:f>'[1]sec cosec graph'!$H$1</c:f>
              <c:strCache>
                <c:ptCount val="1"/>
              </c:strCache>
            </c:strRef>
          </c:tx>
          <c:spPr>
            <a:ln w="95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'[1]sec cosec graph'!$A$2:$A$50</c:f>
              <c:numCache>
                <c:formatCode>General</c:formatCode>
                <c:ptCount val="49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  <c:pt idx="25">
                  <c:v>375</c:v>
                </c:pt>
                <c:pt idx="26">
                  <c:v>390</c:v>
                </c:pt>
                <c:pt idx="27">
                  <c:v>405</c:v>
                </c:pt>
                <c:pt idx="28">
                  <c:v>420</c:v>
                </c:pt>
                <c:pt idx="29">
                  <c:v>435</c:v>
                </c:pt>
                <c:pt idx="30">
                  <c:v>450</c:v>
                </c:pt>
                <c:pt idx="31">
                  <c:v>465</c:v>
                </c:pt>
                <c:pt idx="32">
                  <c:v>480</c:v>
                </c:pt>
                <c:pt idx="33">
                  <c:v>495</c:v>
                </c:pt>
                <c:pt idx="34">
                  <c:v>510</c:v>
                </c:pt>
                <c:pt idx="35">
                  <c:v>525</c:v>
                </c:pt>
                <c:pt idx="36">
                  <c:v>540</c:v>
                </c:pt>
                <c:pt idx="37">
                  <c:v>555</c:v>
                </c:pt>
                <c:pt idx="38">
                  <c:v>570</c:v>
                </c:pt>
                <c:pt idx="39">
                  <c:v>585</c:v>
                </c:pt>
                <c:pt idx="40">
                  <c:v>600</c:v>
                </c:pt>
                <c:pt idx="41">
                  <c:v>615</c:v>
                </c:pt>
                <c:pt idx="42">
                  <c:v>630</c:v>
                </c:pt>
                <c:pt idx="43">
                  <c:v>645</c:v>
                </c:pt>
                <c:pt idx="44">
                  <c:v>660</c:v>
                </c:pt>
                <c:pt idx="45">
                  <c:v>675</c:v>
                </c:pt>
                <c:pt idx="46">
                  <c:v>690</c:v>
                </c:pt>
                <c:pt idx="47">
                  <c:v>705</c:v>
                </c:pt>
                <c:pt idx="48">
                  <c:v>720</c:v>
                </c:pt>
              </c:numCache>
            </c:numRef>
          </c:xVal>
          <c:yVal>
            <c:numRef>
              <c:f>'[1]sec cosec graph'!$H$2:$H$50</c:f>
              <c:numCache>
                <c:formatCode>General</c:formatCode>
                <c:ptCount val="49"/>
                <c:pt idx="0">
                  <c:v>1</c:v>
                </c:pt>
                <c:pt idx="1">
                  <c:v>0.86602540378443871</c:v>
                </c:pt>
                <c:pt idx="2">
                  <c:v>0.50000000000000011</c:v>
                </c:pt>
                <c:pt idx="3">
                  <c:v>6.1257422745431001E-17</c:v>
                </c:pt>
                <c:pt idx="4">
                  <c:v>-0.49999999999999978</c:v>
                </c:pt>
                <c:pt idx="5">
                  <c:v>-0.86602540378443871</c:v>
                </c:pt>
                <c:pt idx="6">
                  <c:v>-1</c:v>
                </c:pt>
                <c:pt idx="7">
                  <c:v>-0.8660254037844386</c:v>
                </c:pt>
                <c:pt idx="8">
                  <c:v>-0.50000000000000044</c:v>
                </c:pt>
                <c:pt idx="9">
                  <c:v>-1.83772268236293E-16</c:v>
                </c:pt>
                <c:pt idx="10">
                  <c:v>0.50000000000000011</c:v>
                </c:pt>
                <c:pt idx="11">
                  <c:v>0.86602540378443837</c:v>
                </c:pt>
                <c:pt idx="12">
                  <c:v>1</c:v>
                </c:pt>
                <c:pt idx="13">
                  <c:v>0.8660254037844386</c:v>
                </c:pt>
                <c:pt idx="14">
                  <c:v>0.49999999999999972</c:v>
                </c:pt>
                <c:pt idx="15">
                  <c:v>3.06287113727155E-16</c:v>
                </c:pt>
                <c:pt idx="16">
                  <c:v>-0.49999999999999922</c:v>
                </c:pt>
                <c:pt idx="17">
                  <c:v>-0.86602540378443882</c:v>
                </c:pt>
                <c:pt idx="18">
                  <c:v>-1</c:v>
                </c:pt>
                <c:pt idx="19">
                  <c:v>-0.86602540378443915</c:v>
                </c:pt>
                <c:pt idx="20">
                  <c:v>-0.49999999999999983</c:v>
                </c:pt>
                <c:pt idx="21">
                  <c:v>-4.28801959218017E-16</c:v>
                </c:pt>
                <c:pt idx="22">
                  <c:v>0.49999999999999911</c:v>
                </c:pt>
                <c:pt idx="23">
                  <c:v>0.86602540378443871</c:v>
                </c:pt>
                <c:pt idx="24">
                  <c:v>1</c:v>
                </c:pt>
                <c:pt idx="25">
                  <c:v>0.86602540378443915</c:v>
                </c:pt>
                <c:pt idx="26">
                  <c:v>0.49999999999999994</c:v>
                </c:pt>
                <c:pt idx="27">
                  <c:v>5.51316804708879E-16</c:v>
                </c:pt>
                <c:pt idx="28">
                  <c:v>-0.50000000000000056</c:v>
                </c:pt>
                <c:pt idx="29">
                  <c:v>-0.8660254037844386</c:v>
                </c:pt>
                <c:pt idx="30">
                  <c:v>-1</c:v>
                </c:pt>
                <c:pt idx="31">
                  <c:v>-0.86602540378443926</c:v>
                </c:pt>
                <c:pt idx="32">
                  <c:v>-0.50000000000000155</c:v>
                </c:pt>
                <c:pt idx="33">
                  <c:v>1.1025251892005095E-15</c:v>
                </c:pt>
                <c:pt idx="34">
                  <c:v>0.50000000000000044</c:v>
                </c:pt>
                <c:pt idx="35">
                  <c:v>0.8660254037844386</c:v>
                </c:pt>
                <c:pt idx="36">
                  <c:v>1</c:v>
                </c:pt>
                <c:pt idx="37">
                  <c:v>0.86602540378443937</c:v>
                </c:pt>
                <c:pt idx="38">
                  <c:v>0.50000000000000167</c:v>
                </c:pt>
                <c:pt idx="39">
                  <c:v>-9.8001034370964746E-16</c:v>
                </c:pt>
                <c:pt idx="40">
                  <c:v>-0.50000000000000033</c:v>
                </c:pt>
                <c:pt idx="41">
                  <c:v>-0.86602540378443849</c:v>
                </c:pt>
                <c:pt idx="42">
                  <c:v>-1</c:v>
                </c:pt>
                <c:pt idx="43">
                  <c:v>-0.86602540378443937</c:v>
                </c:pt>
                <c:pt idx="44">
                  <c:v>-0.50000000000000178</c:v>
                </c:pt>
                <c:pt idx="45">
                  <c:v>8.5749549821878546E-16</c:v>
                </c:pt>
                <c:pt idx="46">
                  <c:v>0.50000000000000022</c:v>
                </c:pt>
                <c:pt idx="47">
                  <c:v>0.86602540378443849</c:v>
                </c:pt>
                <c:pt idx="4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58C7-4E64-BC1D-2801198E4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1200048"/>
        <c:axId val="681200528"/>
        <c:extLst/>
      </c:scatterChart>
      <c:valAx>
        <c:axId val="681200048"/>
        <c:scaling>
          <c:orientation val="minMax"/>
          <c:max val="72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200528"/>
        <c:crosses val="autoZero"/>
        <c:crossBetween val="midCat"/>
        <c:majorUnit val="25"/>
      </c:valAx>
      <c:valAx>
        <c:axId val="681200528"/>
        <c:scaling>
          <c:orientation val="minMax"/>
          <c:max val="6"/>
          <c:min val="-7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200048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0075603923522981E-2"/>
          <c:y val="2.6707919180705881E-2"/>
          <c:w val="0.90885297559880995"/>
          <c:h val="0.952556300921804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'tan '!$C$1</c:f>
              <c:strCache>
                <c:ptCount val="1"/>
                <c:pt idx="0">
                  <c:v>tang x 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'tan '!$A$2:$A$50</c:f>
              <c:numCache>
                <c:formatCode>General</c:formatCode>
                <c:ptCount val="49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  <c:pt idx="25">
                  <c:v>375</c:v>
                </c:pt>
                <c:pt idx="26">
                  <c:v>390</c:v>
                </c:pt>
                <c:pt idx="27">
                  <c:v>405</c:v>
                </c:pt>
                <c:pt idx="28">
                  <c:v>420</c:v>
                </c:pt>
                <c:pt idx="29">
                  <c:v>435</c:v>
                </c:pt>
                <c:pt idx="30">
                  <c:v>450</c:v>
                </c:pt>
                <c:pt idx="31">
                  <c:v>465</c:v>
                </c:pt>
                <c:pt idx="32">
                  <c:v>480</c:v>
                </c:pt>
                <c:pt idx="33">
                  <c:v>495</c:v>
                </c:pt>
                <c:pt idx="34">
                  <c:v>510</c:v>
                </c:pt>
                <c:pt idx="35">
                  <c:v>525</c:v>
                </c:pt>
                <c:pt idx="36">
                  <c:v>540</c:v>
                </c:pt>
                <c:pt idx="37">
                  <c:v>555</c:v>
                </c:pt>
                <c:pt idx="38">
                  <c:v>570</c:v>
                </c:pt>
                <c:pt idx="39">
                  <c:v>585</c:v>
                </c:pt>
                <c:pt idx="40">
                  <c:v>600</c:v>
                </c:pt>
                <c:pt idx="41">
                  <c:v>615</c:v>
                </c:pt>
                <c:pt idx="42">
                  <c:v>630</c:v>
                </c:pt>
                <c:pt idx="43">
                  <c:v>645</c:v>
                </c:pt>
                <c:pt idx="44">
                  <c:v>660</c:v>
                </c:pt>
                <c:pt idx="45">
                  <c:v>675</c:v>
                </c:pt>
                <c:pt idx="46">
                  <c:v>690</c:v>
                </c:pt>
                <c:pt idx="47">
                  <c:v>705</c:v>
                </c:pt>
                <c:pt idx="48">
                  <c:v>720</c:v>
                </c:pt>
              </c:numCache>
            </c:numRef>
          </c:xVal>
          <c:yVal>
            <c:numRef>
              <c:f>'tan '!$C$2:$C$50</c:f>
              <c:numCache>
                <c:formatCode>General</c:formatCode>
                <c:ptCount val="49"/>
                <c:pt idx="0">
                  <c:v>0</c:v>
                </c:pt>
                <c:pt idx="1">
                  <c:v>0.2679491924311227</c:v>
                </c:pt>
                <c:pt idx="2">
                  <c:v>0.57735026918962573</c:v>
                </c:pt>
                <c:pt idx="3">
                  <c:v>0.99999999999999989</c:v>
                </c:pt>
                <c:pt idx="4">
                  <c:v>1.7320508075688767</c:v>
                </c:pt>
                <c:pt idx="5">
                  <c:v>3.7320508075688776</c:v>
                </c:pt>
                <c:pt idx="6">
                  <c:v>1.6324552277619072E+16</c:v>
                </c:pt>
                <c:pt idx="7">
                  <c:v>-3.7320508075688763</c:v>
                </c:pt>
                <c:pt idx="8">
                  <c:v>-1.7320508075688783</c:v>
                </c:pt>
                <c:pt idx="9">
                  <c:v>-1.0000000000000002</c:v>
                </c:pt>
                <c:pt idx="10">
                  <c:v>-0.57735026918962573</c:v>
                </c:pt>
                <c:pt idx="11">
                  <c:v>-0.26794919243112297</c:v>
                </c:pt>
                <c:pt idx="12">
                  <c:v>-1.22514845490862E-16</c:v>
                </c:pt>
                <c:pt idx="13">
                  <c:v>0.2679491924311227</c:v>
                </c:pt>
                <c:pt idx="14">
                  <c:v>0.57735026918962595</c:v>
                </c:pt>
                <c:pt idx="15">
                  <c:v>0.99999999999999967</c:v>
                </c:pt>
                <c:pt idx="16">
                  <c:v>1.7320508075688754</c:v>
                </c:pt>
                <c:pt idx="17">
                  <c:v>3.732050807568879</c:v>
                </c:pt>
                <c:pt idx="18">
                  <c:v>5441517425873024</c:v>
                </c:pt>
                <c:pt idx="19">
                  <c:v>-3.7320508075688847</c:v>
                </c:pt>
                <c:pt idx="20">
                  <c:v>-1.732050807568877</c:v>
                </c:pt>
                <c:pt idx="21">
                  <c:v>-1.0000000000000004</c:v>
                </c:pt>
                <c:pt idx="22">
                  <c:v>-0.57735026918962651</c:v>
                </c:pt>
                <c:pt idx="23">
                  <c:v>-0.26794919243112264</c:v>
                </c:pt>
                <c:pt idx="24">
                  <c:v>-2.45029690981724E-16</c:v>
                </c:pt>
                <c:pt idx="25">
                  <c:v>0.26794919243112214</c:v>
                </c:pt>
                <c:pt idx="26">
                  <c:v>0.57735026918962584</c:v>
                </c:pt>
                <c:pt idx="27">
                  <c:v>0.99999999999999944</c:v>
                </c:pt>
                <c:pt idx="28">
                  <c:v>1.7320508075688785</c:v>
                </c:pt>
                <c:pt idx="29">
                  <c:v>3.7320508075688772</c:v>
                </c:pt>
                <c:pt idx="30">
                  <c:v>3264910455523814.5</c:v>
                </c:pt>
                <c:pt idx="31">
                  <c:v>-3.7320508075688865</c:v>
                </c:pt>
                <c:pt idx="32">
                  <c:v>-1.732050807568881</c:v>
                </c:pt>
                <c:pt idx="33">
                  <c:v>-0.99999999999999889</c:v>
                </c:pt>
                <c:pt idx="34">
                  <c:v>-0.5773502691896254</c:v>
                </c:pt>
                <c:pt idx="35">
                  <c:v>-0.26794919243112275</c:v>
                </c:pt>
                <c:pt idx="36">
                  <c:v>-3.67544536472586E-16</c:v>
                </c:pt>
                <c:pt idx="37">
                  <c:v>0.26794919243112197</c:v>
                </c:pt>
                <c:pt idx="38">
                  <c:v>0.57735026918962451</c:v>
                </c:pt>
                <c:pt idx="39">
                  <c:v>1.0000000000000009</c:v>
                </c:pt>
                <c:pt idx="40">
                  <c:v>1.7320508075688781</c:v>
                </c:pt>
                <c:pt idx="41">
                  <c:v>3.7320508075688754</c:v>
                </c:pt>
                <c:pt idx="42">
                  <c:v>2332078896802724.5</c:v>
                </c:pt>
                <c:pt idx="43">
                  <c:v>-3.7320508075688883</c:v>
                </c:pt>
                <c:pt idx="44">
                  <c:v>-1.7320508075688814</c:v>
                </c:pt>
                <c:pt idx="45">
                  <c:v>-0.99999999999999911</c:v>
                </c:pt>
                <c:pt idx="46">
                  <c:v>-0.57735026918962562</c:v>
                </c:pt>
                <c:pt idx="47">
                  <c:v>-0.26794919243112292</c:v>
                </c:pt>
                <c:pt idx="48">
                  <c:v>-4.90059381963448E-16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74B-4BC7-B0E5-ABD1B7CCB6E7}"/>
            </c:ext>
          </c:extLst>
        </c:ser>
        <c:ser>
          <c:idx val="1"/>
          <c:order val="1"/>
          <c:tx>
            <c:strRef>
              <c:f>'[1]tang graph)'!$E$1</c:f>
              <c:strCache>
                <c:ptCount val="1"/>
                <c:pt idx="0">
                  <c:v>CSC  x 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accent6"/>
                </a:solidFill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'[1]tang graph)'!$A$2:$A$50</c:f>
              <c:numCache>
                <c:formatCode>General</c:formatCode>
                <c:ptCount val="49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  <c:pt idx="25">
                  <c:v>375</c:v>
                </c:pt>
                <c:pt idx="26">
                  <c:v>390</c:v>
                </c:pt>
                <c:pt idx="27">
                  <c:v>405</c:v>
                </c:pt>
                <c:pt idx="28">
                  <c:v>420</c:v>
                </c:pt>
                <c:pt idx="29">
                  <c:v>435</c:v>
                </c:pt>
                <c:pt idx="30">
                  <c:v>450</c:v>
                </c:pt>
                <c:pt idx="31">
                  <c:v>465</c:v>
                </c:pt>
                <c:pt idx="32">
                  <c:v>480</c:v>
                </c:pt>
                <c:pt idx="33">
                  <c:v>495</c:v>
                </c:pt>
                <c:pt idx="34">
                  <c:v>510</c:v>
                </c:pt>
                <c:pt idx="35">
                  <c:v>525</c:v>
                </c:pt>
                <c:pt idx="36">
                  <c:v>540</c:v>
                </c:pt>
                <c:pt idx="37">
                  <c:v>555</c:v>
                </c:pt>
                <c:pt idx="38">
                  <c:v>570</c:v>
                </c:pt>
                <c:pt idx="39">
                  <c:v>585</c:v>
                </c:pt>
                <c:pt idx="40">
                  <c:v>600</c:v>
                </c:pt>
                <c:pt idx="41">
                  <c:v>615</c:v>
                </c:pt>
                <c:pt idx="42">
                  <c:v>630</c:v>
                </c:pt>
                <c:pt idx="43">
                  <c:v>645</c:v>
                </c:pt>
                <c:pt idx="44">
                  <c:v>660</c:v>
                </c:pt>
                <c:pt idx="45">
                  <c:v>675</c:v>
                </c:pt>
                <c:pt idx="46">
                  <c:v>690</c:v>
                </c:pt>
                <c:pt idx="47">
                  <c:v>705</c:v>
                </c:pt>
                <c:pt idx="48">
                  <c:v>720</c:v>
                </c:pt>
              </c:numCache>
            </c:numRef>
          </c:xVal>
          <c:yVal>
            <c:numRef>
              <c:f>'[1]tang graph)'!$E$2:$E$50</c:f>
              <c:numCache>
                <c:formatCode>General</c:formatCode>
                <c:ptCount val="49"/>
                <c:pt idx="0">
                  <c:v>0</c:v>
                </c:pt>
                <c:pt idx="1">
                  <c:v>3.8637033051562737</c:v>
                </c:pt>
                <c:pt idx="2">
                  <c:v>2</c:v>
                </c:pt>
                <c:pt idx="3">
                  <c:v>1.4142135623730951</c:v>
                </c:pt>
                <c:pt idx="4">
                  <c:v>1.1547005383792517</c:v>
                </c:pt>
                <c:pt idx="5">
                  <c:v>1.035276180410083</c:v>
                </c:pt>
                <c:pt idx="6">
                  <c:v>1</c:v>
                </c:pt>
                <c:pt idx="7">
                  <c:v>1.035276180410083</c:v>
                </c:pt>
                <c:pt idx="8">
                  <c:v>1.1547005383792515</c:v>
                </c:pt>
                <c:pt idx="9">
                  <c:v>1.4142135623730949</c:v>
                </c:pt>
                <c:pt idx="10">
                  <c:v>2</c:v>
                </c:pt>
                <c:pt idx="11">
                  <c:v>3.8637033051562693</c:v>
                </c:pt>
                <c:pt idx="12">
                  <c:v>8162276138809536</c:v>
                </c:pt>
                <c:pt idx="13">
                  <c:v>-3.8637033051562728</c:v>
                </c:pt>
                <c:pt idx="14">
                  <c:v>-1.9999999999999996</c:v>
                </c:pt>
                <c:pt idx="15">
                  <c:v>-1.4142135623730951</c:v>
                </c:pt>
                <c:pt idx="16">
                  <c:v>-1.1547005383792519</c:v>
                </c:pt>
                <c:pt idx="17">
                  <c:v>-1.035276180410083</c:v>
                </c:pt>
                <c:pt idx="18">
                  <c:v>-1</c:v>
                </c:pt>
                <c:pt idx="19">
                  <c:v>-1.035276180410083</c:v>
                </c:pt>
                <c:pt idx="20">
                  <c:v>-1.1547005383792517</c:v>
                </c:pt>
                <c:pt idx="21">
                  <c:v>-1.4142135623730947</c:v>
                </c:pt>
                <c:pt idx="22">
                  <c:v>-1.9999999999999982</c:v>
                </c:pt>
                <c:pt idx="23">
                  <c:v>-3.8637033051562741</c:v>
                </c:pt>
                <c:pt idx="24">
                  <c:v>-4081138069404768</c:v>
                </c:pt>
                <c:pt idx="25">
                  <c:v>3.8637033051562808</c:v>
                </c:pt>
                <c:pt idx="26">
                  <c:v>2</c:v>
                </c:pt>
                <c:pt idx="27">
                  <c:v>1.4142135623730954</c:v>
                </c:pt>
                <c:pt idx="28">
                  <c:v>1.1547005383792512</c:v>
                </c:pt>
                <c:pt idx="29">
                  <c:v>1.035276180410083</c:v>
                </c:pt>
                <c:pt idx="30">
                  <c:v>1</c:v>
                </c:pt>
                <c:pt idx="31">
                  <c:v>1.035276180410083</c:v>
                </c:pt>
                <c:pt idx="32">
                  <c:v>1.1547005383792508</c:v>
                </c:pt>
                <c:pt idx="33">
                  <c:v>1.4142135623730958</c:v>
                </c:pt>
                <c:pt idx="34">
                  <c:v>2.0000000000000009</c:v>
                </c:pt>
                <c:pt idx="35">
                  <c:v>3.8637033051562728</c:v>
                </c:pt>
                <c:pt idx="36">
                  <c:v>2720758712936512</c:v>
                </c:pt>
                <c:pt idx="37">
                  <c:v>-3.8637033051562826</c:v>
                </c:pt>
                <c:pt idx="38">
                  <c:v>-2.0000000000000036</c:v>
                </c:pt>
                <c:pt idx="39">
                  <c:v>-1.4142135623730943</c:v>
                </c:pt>
                <c:pt idx="40">
                  <c:v>-1.1547005383792515</c:v>
                </c:pt>
                <c:pt idx="41">
                  <c:v>-1.0352761804100832</c:v>
                </c:pt>
                <c:pt idx="42">
                  <c:v>-1</c:v>
                </c:pt>
                <c:pt idx="43">
                  <c:v>-1.035276180410083</c:v>
                </c:pt>
                <c:pt idx="44">
                  <c:v>-1.1547005383792508</c:v>
                </c:pt>
                <c:pt idx="45">
                  <c:v>-1.4142135623730956</c:v>
                </c:pt>
                <c:pt idx="46">
                  <c:v>-2.0000000000000004</c:v>
                </c:pt>
                <c:pt idx="47">
                  <c:v>-3.8637033051562701</c:v>
                </c:pt>
                <c:pt idx="48">
                  <c:v>-2040569034702384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74B-4BC7-B0E5-ABD1B7CCB6E7}"/>
            </c:ext>
          </c:extLst>
        </c:ser>
        <c:ser>
          <c:idx val="2"/>
          <c:order val="2"/>
          <c:tx>
            <c:strRef>
              <c:f>'tan '!$D$1</c:f>
              <c:strCache>
                <c:ptCount val="1"/>
                <c:pt idx="0">
                  <c:v>sin(x)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'tan '!$A$2:$A$50</c:f>
              <c:numCache>
                <c:formatCode>General</c:formatCode>
                <c:ptCount val="49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  <c:pt idx="25">
                  <c:v>375</c:v>
                </c:pt>
                <c:pt idx="26">
                  <c:v>390</c:v>
                </c:pt>
                <c:pt idx="27">
                  <c:v>405</c:v>
                </c:pt>
                <c:pt idx="28">
                  <c:v>420</c:v>
                </c:pt>
                <c:pt idx="29">
                  <c:v>435</c:v>
                </c:pt>
                <c:pt idx="30">
                  <c:v>450</c:v>
                </c:pt>
                <c:pt idx="31">
                  <c:v>465</c:v>
                </c:pt>
                <c:pt idx="32">
                  <c:v>480</c:v>
                </c:pt>
                <c:pt idx="33">
                  <c:v>495</c:v>
                </c:pt>
                <c:pt idx="34">
                  <c:v>510</c:v>
                </c:pt>
                <c:pt idx="35">
                  <c:v>525</c:v>
                </c:pt>
                <c:pt idx="36">
                  <c:v>540</c:v>
                </c:pt>
                <c:pt idx="37">
                  <c:v>555</c:v>
                </c:pt>
                <c:pt idx="38">
                  <c:v>570</c:v>
                </c:pt>
                <c:pt idx="39">
                  <c:v>585</c:v>
                </c:pt>
                <c:pt idx="40">
                  <c:v>600</c:v>
                </c:pt>
                <c:pt idx="41">
                  <c:v>615</c:v>
                </c:pt>
                <c:pt idx="42">
                  <c:v>630</c:v>
                </c:pt>
                <c:pt idx="43">
                  <c:v>645</c:v>
                </c:pt>
                <c:pt idx="44">
                  <c:v>660</c:v>
                </c:pt>
                <c:pt idx="45">
                  <c:v>675</c:v>
                </c:pt>
                <c:pt idx="46">
                  <c:v>690</c:v>
                </c:pt>
                <c:pt idx="47">
                  <c:v>705</c:v>
                </c:pt>
                <c:pt idx="48">
                  <c:v>720</c:v>
                </c:pt>
              </c:numCache>
            </c:numRef>
          </c:xVal>
          <c:yVal>
            <c:numRef>
              <c:f>'tan '!$D$2:$D$50</c:f>
              <c:numCache>
                <c:formatCode>General</c:formatCode>
                <c:ptCount val="49"/>
                <c:pt idx="0">
                  <c:v>0</c:v>
                </c:pt>
                <c:pt idx="1">
                  <c:v>0.25881904510252074</c:v>
                </c:pt>
                <c:pt idx="2">
                  <c:v>0.49999999999999994</c:v>
                </c:pt>
                <c:pt idx="3">
                  <c:v>0.70710678118654746</c:v>
                </c:pt>
                <c:pt idx="4">
                  <c:v>0.8660254037844386</c:v>
                </c:pt>
                <c:pt idx="5">
                  <c:v>0.96592582628906831</c:v>
                </c:pt>
                <c:pt idx="6">
                  <c:v>1</c:v>
                </c:pt>
                <c:pt idx="7">
                  <c:v>0.96592582628906831</c:v>
                </c:pt>
                <c:pt idx="8">
                  <c:v>0.86602540378443871</c:v>
                </c:pt>
                <c:pt idx="9">
                  <c:v>0.70710678118654757</c:v>
                </c:pt>
                <c:pt idx="10">
                  <c:v>0.49999999999999994</c:v>
                </c:pt>
                <c:pt idx="11">
                  <c:v>0.25881904510252102</c:v>
                </c:pt>
                <c:pt idx="12">
                  <c:v>1.22514845490862E-16</c:v>
                </c:pt>
                <c:pt idx="13">
                  <c:v>-0.25881904510252079</c:v>
                </c:pt>
                <c:pt idx="14">
                  <c:v>-0.50000000000000011</c:v>
                </c:pt>
                <c:pt idx="15">
                  <c:v>-0.70710678118654746</c:v>
                </c:pt>
                <c:pt idx="16">
                  <c:v>-0.86602540378443837</c:v>
                </c:pt>
                <c:pt idx="17">
                  <c:v>-0.96592582628906831</c:v>
                </c:pt>
                <c:pt idx="18">
                  <c:v>-1</c:v>
                </c:pt>
                <c:pt idx="19">
                  <c:v>-0.96592582628906842</c:v>
                </c:pt>
                <c:pt idx="20">
                  <c:v>-0.8660254037844386</c:v>
                </c:pt>
                <c:pt idx="21">
                  <c:v>-0.70710678118654768</c:v>
                </c:pt>
                <c:pt idx="22">
                  <c:v>-0.50000000000000044</c:v>
                </c:pt>
                <c:pt idx="23">
                  <c:v>-0.25881904510252068</c:v>
                </c:pt>
                <c:pt idx="24">
                  <c:v>-2.45029690981724E-16</c:v>
                </c:pt>
                <c:pt idx="25">
                  <c:v>0.25881904510252024</c:v>
                </c:pt>
                <c:pt idx="26">
                  <c:v>0.5</c:v>
                </c:pt>
                <c:pt idx="27">
                  <c:v>0.70710678118654735</c:v>
                </c:pt>
                <c:pt idx="28">
                  <c:v>0.86602540378443882</c:v>
                </c:pt>
                <c:pt idx="29">
                  <c:v>0.96592582628906831</c:v>
                </c:pt>
                <c:pt idx="30">
                  <c:v>1</c:v>
                </c:pt>
                <c:pt idx="31">
                  <c:v>0.96592582628906842</c:v>
                </c:pt>
                <c:pt idx="32">
                  <c:v>0.86602540378443915</c:v>
                </c:pt>
                <c:pt idx="33">
                  <c:v>0.70710678118654713</c:v>
                </c:pt>
                <c:pt idx="34">
                  <c:v>0.49999999999999978</c:v>
                </c:pt>
                <c:pt idx="35">
                  <c:v>0.25881904510252079</c:v>
                </c:pt>
                <c:pt idx="36">
                  <c:v>3.67544536472586E-16</c:v>
                </c:pt>
                <c:pt idx="37">
                  <c:v>-0.25881904510252013</c:v>
                </c:pt>
                <c:pt idx="38">
                  <c:v>-0.49999999999999917</c:v>
                </c:pt>
                <c:pt idx="39">
                  <c:v>-0.70710678118654791</c:v>
                </c:pt>
                <c:pt idx="40">
                  <c:v>-0.86602540378443871</c:v>
                </c:pt>
                <c:pt idx="41">
                  <c:v>-0.9659258262890682</c:v>
                </c:pt>
                <c:pt idx="42">
                  <c:v>-1</c:v>
                </c:pt>
                <c:pt idx="43">
                  <c:v>-0.96592582628906842</c:v>
                </c:pt>
                <c:pt idx="44">
                  <c:v>-0.86602540378443915</c:v>
                </c:pt>
                <c:pt idx="45">
                  <c:v>-0.70710678118654724</c:v>
                </c:pt>
                <c:pt idx="46">
                  <c:v>-0.49999999999999989</c:v>
                </c:pt>
                <c:pt idx="47">
                  <c:v>-0.25881904510252096</c:v>
                </c:pt>
                <c:pt idx="48">
                  <c:v>-4.90059381963448E-16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74B-4BC7-B0E5-ABD1B7CCB6E7}"/>
            </c:ext>
          </c:extLst>
        </c:ser>
        <c:ser>
          <c:idx val="3"/>
          <c:order val="3"/>
          <c:tx>
            <c:strRef>
              <c:f>'[1]tang graph)'!$F$1</c:f>
              <c:strCache>
                <c:ptCount val="1"/>
                <c:pt idx="0">
                  <c:v>y=2*cos(𝜃)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'[1]tang graph)'!$A$2:$A$50</c:f>
              <c:numCache>
                <c:formatCode>General</c:formatCode>
                <c:ptCount val="49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  <c:pt idx="25">
                  <c:v>375</c:v>
                </c:pt>
                <c:pt idx="26">
                  <c:v>390</c:v>
                </c:pt>
                <c:pt idx="27">
                  <c:v>405</c:v>
                </c:pt>
                <c:pt idx="28">
                  <c:v>420</c:v>
                </c:pt>
                <c:pt idx="29">
                  <c:v>435</c:v>
                </c:pt>
                <c:pt idx="30">
                  <c:v>450</c:v>
                </c:pt>
                <c:pt idx="31">
                  <c:v>465</c:v>
                </c:pt>
                <c:pt idx="32">
                  <c:v>480</c:v>
                </c:pt>
                <c:pt idx="33">
                  <c:v>495</c:v>
                </c:pt>
                <c:pt idx="34">
                  <c:v>510</c:v>
                </c:pt>
                <c:pt idx="35">
                  <c:v>525</c:v>
                </c:pt>
                <c:pt idx="36">
                  <c:v>540</c:v>
                </c:pt>
                <c:pt idx="37">
                  <c:v>555</c:v>
                </c:pt>
                <c:pt idx="38">
                  <c:v>570</c:v>
                </c:pt>
                <c:pt idx="39">
                  <c:v>585</c:v>
                </c:pt>
                <c:pt idx="40">
                  <c:v>600</c:v>
                </c:pt>
                <c:pt idx="41">
                  <c:v>615</c:v>
                </c:pt>
                <c:pt idx="42">
                  <c:v>630</c:v>
                </c:pt>
                <c:pt idx="43">
                  <c:v>645</c:v>
                </c:pt>
                <c:pt idx="44">
                  <c:v>660</c:v>
                </c:pt>
                <c:pt idx="45">
                  <c:v>675</c:v>
                </c:pt>
                <c:pt idx="46">
                  <c:v>690</c:v>
                </c:pt>
                <c:pt idx="47">
                  <c:v>705</c:v>
                </c:pt>
                <c:pt idx="48">
                  <c:v>720</c:v>
                </c:pt>
              </c:numCache>
            </c:numRef>
          </c:xVal>
          <c:yVal>
            <c:numRef>
              <c:f>'[1]tang graph)'!$F$2:$F$50</c:f>
              <c:numCache>
                <c:formatCode>General</c:formatCode>
                <c:ptCount val="49"/>
                <c:pt idx="0">
                  <c:v>2</c:v>
                </c:pt>
                <c:pt idx="1">
                  <c:v>1.9318516525781366</c:v>
                </c:pt>
                <c:pt idx="2">
                  <c:v>1.7320508075688774</c:v>
                </c:pt>
                <c:pt idx="3">
                  <c:v>1.4142135623730951</c:v>
                </c:pt>
                <c:pt idx="4">
                  <c:v>1.0000000000000002</c:v>
                </c:pt>
                <c:pt idx="5">
                  <c:v>0.51763809020504148</c:v>
                </c:pt>
                <c:pt idx="6">
                  <c:v>1.22514845490862E-16</c:v>
                </c:pt>
                <c:pt idx="7">
                  <c:v>-0.5176380902050417</c:v>
                </c:pt>
                <c:pt idx="8">
                  <c:v>-0.99999999999999956</c:v>
                </c:pt>
                <c:pt idx="9">
                  <c:v>-1.4142135623730949</c:v>
                </c:pt>
                <c:pt idx="10">
                  <c:v>-1.7320508075688774</c:v>
                </c:pt>
                <c:pt idx="11">
                  <c:v>-1.9318516525781364</c:v>
                </c:pt>
                <c:pt idx="12">
                  <c:v>-2</c:v>
                </c:pt>
                <c:pt idx="13">
                  <c:v>-1.9318516525781366</c:v>
                </c:pt>
                <c:pt idx="14">
                  <c:v>-1.7320508075688772</c:v>
                </c:pt>
                <c:pt idx="15">
                  <c:v>-1.4142135623730954</c:v>
                </c:pt>
                <c:pt idx="16">
                  <c:v>-1.0000000000000009</c:v>
                </c:pt>
                <c:pt idx="17">
                  <c:v>-0.51763809020504126</c:v>
                </c:pt>
                <c:pt idx="18">
                  <c:v>-3.67544536472586E-16</c:v>
                </c:pt>
                <c:pt idx="19">
                  <c:v>0.51763809020504059</c:v>
                </c:pt>
                <c:pt idx="20">
                  <c:v>1.0000000000000002</c:v>
                </c:pt>
                <c:pt idx="21">
                  <c:v>1.4142135623730947</c:v>
                </c:pt>
                <c:pt idx="22">
                  <c:v>1.7320508075688767</c:v>
                </c:pt>
                <c:pt idx="23">
                  <c:v>1.9318516525781366</c:v>
                </c:pt>
                <c:pt idx="24">
                  <c:v>2</c:v>
                </c:pt>
                <c:pt idx="25">
                  <c:v>1.9318516525781368</c:v>
                </c:pt>
                <c:pt idx="26">
                  <c:v>1.7320508075688772</c:v>
                </c:pt>
                <c:pt idx="27">
                  <c:v>1.4142135623730954</c:v>
                </c:pt>
                <c:pt idx="28">
                  <c:v>0.99999999999999944</c:v>
                </c:pt>
                <c:pt idx="29">
                  <c:v>0.51763809020504148</c:v>
                </c:pt>
                <c:pt idx="30">
                  <c:v>6.1257422745431001E-16</c:v>
                </c:pt>
                <c:pt idx="31">
                  <c:v>-0.51763809020504037</c:v>
                </c:pt>
                <c:pt idx="32">
                  <c:v>-0.99999999999999845</c:v>
                </c:pt>
                <c:pt idx="33">
                  <c:v>-1.4142135623730958</c:v>
                </c:pt>
                <c:pt idx="34">
                  <c:v>-1.7320508075688776</c:v>
                </c:pt>
                <c:pt idx="35">
                  <c:v>-1.9318516525781366</c:v>
                </c:pt>
                <c:pt idx="36">
                  <c:v>-2</c:v>
                </c:pt>
                <c:pt idx="37">
                  <c:v>-1.9318516525781368</c:v>
                </c:pt>
                <c:pt idx="38">
                  <c:v>-1.7320508075688783</c:v>
                </c:pt>
                <c:pt idx="39">
                  <c:v>-1.4142135623730943</c:v>
                </c:pt>
                <c:pt idx="40">
                  <c:v>-0.99999999999999967</c:v>
                </c:pt>
                <c:pt idx="41">
                  <c:v>-0.51763809020504181</c:v>
                </c:pt>
                <c:pt idx="42">
                  <c:v>-8.5760391843603401E-16</c:v>
                </c:pt>
                <c:pt idx="43">
                  <c:v>0.51763809020504015</c:v>
                </c:pt>
                <c:pt idx="44">
                  <c:v>0.99999999999999822</c:v>
                </c:pt>
                <c:pt idx="45">
                  <c:v>1.4142135623730956</c:v>
                </c:pt>
                <c:pt idx="46">
                  <c:v>1.7320508075688774</c:v>
                </c:pt>
                <c:pt idx="47">
                  <c:v>1.9318516525781364</c:v>
                </c:pt>
                <c:pt idx="48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74B-4BC7-B0E5-ABD1B7CCB6E7}"/>
            </c:ext>
          </c:extLst>
        </c:ser>
        <c:ser>
          <c:idx val="4"/>
          <c:order val="4"/>
          <c:tx>
            <c:strRef>
              <c:f>'[1]tang graph)'!$G$1</c:f>
              <c:strCache>
                <c:ptCount val="1"/>
                <c:pt idx="0">
                  <c:v>y=sin(2*𝜃)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accent2"/>
                </a:solidFill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'[1]tang graph)'!$A$2:$A$50</c:f>
              <c:numCache>
                <c:formatCode>General</c:formatCode>
                <c:ptCount val="49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  <c:pt idx="25">
                  <c:v>375</c:v>
                </c:pt>
                <c:pt idx="26">
                  <c:v>390</c:v>
                </c:pt>
                <c:pt idx="27">
                  <c:v>405</c:v>
                </c:pt>
                <c:pt idx="28">
                  <c:v>420</c:v>
                </c:pt>
                <c:pt idx="29">
                  <c:v>435</c:v>
                </c:pt>
                <c:pt idx="30">
                  <c:v>450</c:v>
                </c:pt>
                <c:pt idx="31">
                  <c:v>465</c:v>
                </c:pt>
                <c:pt idx="32">
                  <c:v>480</c:v>
                </c:pt>
                <c:pt idx="33">
                  <c:v>495</c:v>
                </c:pt>
                <c:pt idx="34">
                  <c:v>510</c:v>
                </c:pt>
                <c:pt idx="35">
                  <c:v>525</c:v>
                </c:pt>
                <c:pt idx="36">
                  <c:v>540</c:v>
                </c:pt>
                <c:pt idx="37">
                  <c:v>555</c:v>
                </c:pt>
                <c:pt idx="38">
                  <c:v>570</c:v>
                </c:pt>
                <c:pt idx="39">
                  <c:v>585</c:v>
                </c:pt>
                <c:pt idx="40">
                  <c:v>600</c:v>
                </c:pt>
                <c:pt idx="41">
                  <c:v>615</c:v>
                </c:pt>
                <c:pt idx="42">
                  <c:v>630</c:v>
                </c:pt>
                <c:pt idx="43">
                  <c:v>645</c:v>
                </c:pt>
                <c:pt idx="44">
                  <c:v>660</c:v>
                </c:pt>
                <c:pt idx="45">
                  <c:v>675</c:v>
                </c:pt>
                <c:pt idx="46">
                  <c:v>690</c:v>
                </c:pt>
                <c:pt idx="47">
                  <c:v>705</c:v>
                </c:pt>
                <c:pt idx="48">
                  <c:v>720</c:v>
                </c:pt>
              </c:numCache>
            </c:numRef>
          </c:xVal>
          <c:yVal>
            <c:numRef>
              <c:f>'[1]tang graph)'!$G$2:$G$50</c:f>
              <c:numCache>
                <c:formatCode>General</c:formatCode>
                <c:ptCount val="49"/>
                <c:pt idx="0">
                  <c:v>0</c:v>
                </c:pt>
                <c:pt idx="1">
                  <c:v>0.49999999999999994</c:v>
                </c:pt>
                <c:pt idx="2">
                  <c:v>0.8660254037844386</c:v>
                </c:pt>
                <c:pt idx="3">
                  <c:v>1</c:v>
                </c:pt>
                <c:pt idx="4">
                  <c:v>0.86602540378443871</c:v>
                </c:pt>
                <c:pt idx="5">
                  <c:v>0.49999999999999994</c:v>
                </c:pt>
                <c:pt idx="6">
                  <c:v>1.22514845490862E-16</c:v>
                </c:pt>
                <c:pt idx="7">
                  <c:v>-0.50000000000000011</c:v>
                </c:pt>
                <c:pt idx="8">
                  <c:v>-0.86602540378443837</c:v>
                </c:pt>
                <c:pt idx="9">
                  <c:v>-1</c:v>
                </c:pt>
                <c:pt idx="10">
                  <c:v>-0.8660254037844386</c:v>
                </c:pt>
                <c:pt idx="11">
                  <c:v>-0.50000000000000044</c:v>
                </c:pt>
                <c:pt idx="12">
                  <c:v>-2.45029690981724E-16</c:v>
                </c:pt>
                <c:pt idx="13">
                  <c:v>0.5</c:v>
                </c:pt>
                <c:pt idx="14">
                  <c:v>0.86602540378443882</c:v>
                </c:pt>
                <c:pt idx="15">
                  <c:v>1</c:v>
                </c:pt>
                <c:pt idx="16">
                  <c:v>0.86602540378443915</c:v>
                </c:pt>
                <c:pt idx="17">
                  <c:v>0.49999999999999978</c:v>
                </c:pt>
                <c:pt idx="18">
                  <c:v>3.67544536472586E-16</c:v>
                </c:pt>
                <c:pt idx="19">
                  <c:v>-0.49999999999999917</c:v>
                </c:pt>
                <c:pt idx="20">
                  <c:v>-0.86602540378443871</c:v>
                </c:pt>
                <c:pt idx="21">
                  <c:v>-1</c:v>
                </c:pt>
                <c:pt idx="22">
                  <c:v>-0.86602540378443915</c:v>
                </c:pt>
                <c:pt idx="23">
                  <c:v>-0.49999999999999989</c:v>
                </c:pt>
                <c:pt idx="24">
                  <c:v>-4.90059381963448E-16</c:v>
                </c:pt>
                <c:pt idx="25">
                  <c:v>0.49999999999999906</c:v>
                </c:pt>
                <c:pt idx="26">
                  <c:v>0.86602540378443871</c:v>
                </c:pt>
                <c:pt idx="27">
                  <c:v>1</c:v>
                </c:pt>
                <c:pt idx="28">
                  <c:v>0.86602540378443837</c:v>
                </c:pt>
                <c:pt idx="29">
                  <c:v>0.5</c:v>
                </c:pt>
                <c:pt idx="30">
                  <c:v>6.1257422745431001E-16</c:v>
                </c:pt>
                <c:pt idx="31">
                  <c:v>-0.49999999999999895</c:v>
                </c:pt>
                <c:pt idx="32">
                  <c:v>-0.86602540378443771</c:v>
                </c:pt>
                <c:pt idx="33">
                  <c:v>-1</c:v>
                </c:pt>
                <c:pt idx="34">
                  <c:v>-0.86602540378443837</c:v>
                </c:pt>
                <c:pt idx="35">
                  <c:v>-0.50000000000000011</c:v>
                </c:pt>
                <c:pt idx="36">
                  <c:v>-7.3508907294517201E-16</c:v>
                </c:pt>
                <c:pt idx="37">
                  <c:v>0.49999999999999883</c:v>
                </c:pt>
                <c:pt idx="38">
                  <c:v>0.86602540378443771</c:v>
                </c:pt>
                <c:pt idx="39">
                  <c:v>1</c:v>
                </c:pt>
                <c:pt idx="40">
                  <c:v>0.86602540378443849</c:v>
                </c:pt>
                <c:pt idx="41">
                  <c:v>0.50000000000000022</c:v>
                </c:pt>
                <c:pt idx="42">
                  <c:v>8.5760391843603401E-16</c:v>
                </c:pt>
                <c:pt idx="43">
                  <c:v>-0.49999999999999872</c:v>
                </c:pt>
                <c:pt idx="44">
                  <c:v>-0.8660254037844376</c:v>
                </c:pt>
                <c:pt idx="45">
                  <c:v>-1</c:v>
                </c:pt>
                <c:pt idx="46">
                  <c:v>-0.86602540378443849</c:v>
                </c:pt>
                <c:pt idx="47">
                  <c:v>-0.50000000000000033</c:v>
                </c:pt>
                <c:pt idx="48">
                  <c:v>-9.8011876392689601E-16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74B-4BC7-B0E5-ABD1B7CCB6E7}"/>
            </c:ext>
          </c:extLst>
        </c:ser>
        <c:ser>
          <c:idx val="5"/>
          <c:order val="5"/>
          <c:tx>
            <c:strRef>
              <c:f>'tan '!$H$1</c:f>
              <c:strCache>
                <c:ptCount val="1"/>
                <c:pt idx="0">
                  <c:v>cos(𝜃)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'tan '!$A$2:$A$50</c:f>
              <c:numCache>
                <c:formatCode>General</c:formatCode>
                <c:ptCount val="49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  <c:pt idx="25">
                  <c:v>375</c:v>
                </c:pt>
                <c:pt idx="26">
                  <c:v>390</c:v>
                </c:pt>
                <c:pt idx="27">
                  <c:v>405</c:v>
                </c:pt>
                <c:pt idx="28">
                  <c:v>420</c:v>
                </c:pt>
                <c:pt idx="29">
                  <c:v>435</c:v>
                </c:pt>
                <c:pt idx="30">
                  <c:v>450</c:v>
                </c:pt>
                <c:pt idx="31">
                  <c:v>465</c:v>
                </c:pt>
                <c:pt idx="32">
                  <c:v>480</c:v>
                </c:pt>
                <c:pt idx="33">
                  <c:v>495</c:v>
                </c:pt>
                <c:pt idx="34">
                  <c:v>510</c:v>
                </c:pt>
                <c:pt idx="35">
                  <c:v>525</c:v>
                </c:pt>
                <c:pt idx="36">
                  <c:v>540</c:v>
                </c:pt>
                <c:pt idx="37">
                  <c:v>555</c:v>
                </c:pt>
                <c:pt idx="38">
                  <c:v>570</c:v>
                </c:pt>
                <c:pt idx="39">
                  <c:v>585</c:v>
                </c:pt>
                <c:pt idx="40">
                  <c:v>600</c:v>
                </c:pt>
                <c:pt idx="41">
                  <c:v>615</c:v>
                </c:pt>
                <c:pt idx="42">
                  <c:v>630</c:v>
                </c:pt>
                <c:pt idx="43">
                  <c:v>645</c:v>
                </c:pt>
                <c:pt idx="44">
                  <c:v>660</c:v>
                </c:pt>
                <c:pt idx="45">
                  <c:v>675</c:v>
                </c:pt>
                <c:pt idx="46">
                  <c:v>690</c:v>
                </c:pt>
                <c:pt idx="47">
                  <c:v>705</c:v>
                </c:pt>
                <c:pt idx="48">
                  <c:v>720</c:v>
                </c:pt>
              </c:numCache>
            </c:numRef>
          </c:xVal>
          <c:yVal>
            <c:numRef>
              <c:f>'tan '!$H$2:$H$50</c:f>
              <c:numCache>
                <c:formatCode>General</c:formatCode>
                <c:ptCount val="49"/>
                <c:pt idx="0">
                  <c:v>1</c:v>
                </c:pt>
                <c:pt idx="1">
                  <c:v>0.96592582628906831</c:v>
                </c:pt>
                <c:pt idx="2">
                  <c:v>0.86602540378443871</c:v>
                </c:pt>
                <c:pt idx="3">
                  <c:v>0.70710678118654757</c:v>
                </c:pt>
                <c:pt idx="4">
                  <c:v>0.50000000000000011</c:v>
                </c:pt>
                <c:pt idx="5">
                  <c:v>0.25881904510252074</c:v>
                </c:pt>
                <c:pt idx="6">
                  <c:v>6.1257422745431001E-17</c:v>
                </c:pt>
                <c:pt idx="7">
                  <c:v>-0.25881904510252085</c:v>
                </c:pt>
                <c:pt idx="8">
                  <c:v>-0.49999999999999978</c:v>
                </c:pt>
                <c:pt idx="9">
                  <c:v>-0.70710678118654746</c:v>
                </c:pt>
                <c:pt idx="10">
                  <c:v>-0.86602540378443871</c:v>
                </c:pt>
                <c:pt idx="11">
                  <c:v>-0.9659258262890682</c:v>
                </c:pt>
                <c:pt idx="12">
                  <c:v>-1</c:v>
                </c:pt>
                <c:pt idx="13">
                  <c:v>-0.96592582628906831</c:v>
                </c:pt>
                <c:pt idx="14">
                  <c:v>-0.8660254037844386</c:v>
                </c:pt>
                <c:pt idx="15">
                  <c:v>-0.70710678118654768</c:v>
                </c:pt>
                <c:pt idx="16">
                  <c:v>-0.50000000000000044</c:v>
                </c:pt>
                <c:pt idx="17">
                  <c:v>-0.25881904510252063</c:v>
                </c:pt>
                <c:pt idx="18">
                  <c:v>-1.83772268236293E-16</c:v>
                </c:pt>
                <c:pt idx="19">
                  <c:v>0.2588190451025203</c:v>
                </c:pt>
                <c:pt idx="20">
                  <c:v>0.50000000000000011</c:v>
                </c:pt>
                <c:pt idx="21">
                  <c:v>0.70710678118654735</c:v>
                </c:pt>
                <c:pt idx="22">
                  <c:v>0.86602540378443837</c:v>
                </c:pt>
                <c:pt idx="23">
                  <c:v>0.96592582628906831</c:v>
                </c:pt>
                <c:pt idx="24">
                  <c:v>1</c:v>
                </c:pt>
                <c:pt idx="25">
                  <c:v>0.96592582628906842</c:v>
                </c:pt>
                <c:pt idx="26">
                  <c:v>0.8660254037844386</c:v>
                </c:pt>
                <c:pt idx="27">
                  <c:v>0.70710678118654768</c:v>
                </c:pt>
                <c:pt idx="28">
                  <c:v>0.49999999999999972</c:v>
                </c:pt>
                <c:pt idx="29">
                  <c:v>0.25881904510252074</c:v>
                </c:pt>
                <c:pt idx="30">
                  <c:v>3.06287113727155E-16</c:v>
                </c:pt>
                <c:pt idx="31">
                  <c:v>-0.25881904510252018</c:v>
                </c:pt>
                <c:pt idx="32">
                  <c:v>-0.49999999999999922</c:v>
                </c:pt>
                <c:pt idx="33">
                  <c:v>-0.70710678118654791</c:v>
                </c:pt>
                <c:pt idx="34">
                  <c:v>-0.86602540378443882</c:v>
                </c:pt>
                <c:pt idx="35">
                  <c:v>-0.96592582628906831</c:v>
                </c:pt>
                <c:pt idx="36">
                  <c:v>-1</c:v>
                </c:pt>
                <c:pt idx="37">
                  <c:v>-0.96592582628906842</c:v>
                </c:pt>
                <c:pt idx="38">
                  <c:v>-0.86602540378443915</c:v>
                </c:pt>
                <c:pt idx="39">
                  <c:v>-0.70710678118654713</c:v>
                </c:pt>
                <c:pt idx="40">
                  <c:v>-0.49999999999999983</c:v>
                </c:pt>
                <c:pt idx="41">
                  <c:v>-0.25881904510252091</c:v>
                </c:pt>
                <c:pt idx="42">
                  <c:v>-4.28801959218017E-16</c:v>
                </c:pt>
                <c:pt idx="43">
                  <c:v>0.25881904510252007</c:v>
                </c:pt>
                <c:pt idx="44">
                  <c:v>0.49999999999999911</c:v>
                </c:pt>
                <c:pt idx="45">
                  <c:v>0.70710678118654779</c:v>
                </c:pt>
                <c:pt idx="46">
                  <c:v>0.86602540378443871</c:v>
                </c:pt>
                <c:pt idx="47">
                  <c:v>0.9659258262890682</c:v>
                </c:pt>
                <c:pt idx="4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74B-4BC7-B0E5-ABD1B7CCB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1200048"/>
        <c:axId val="681200528"/>
        <c:extLst/>
      </c:scatterChart>
      <c:valAx>
        <c:axId val="681200048"/>
        <c:scaling>
          <c:orientation val="minMax"/>
          <c:max val="72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200528"/>
        <c:crosses val="autoZero"/>
        <c:crossBetween val="midCat"/>
        <c:majorUnit val="30"/>
      </c:valAx>
      <c:valAx>
        <c:axId val="681200528"/>
        <c:scaling>
          <c:orientation val="minMax"/>
          <c:max val="2.1"/>
          <c:min val="-2.1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200048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554531197305145"/>
          <c:y val="4.8557624241871947E-2"/>
          <c:w val="0.24801635843322414"/>
          <c:h val="0.135008109869258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0075603923522981E-2"/>
          <c:y val="2.6707919180705881E-2"/>
          <c:w val="0.90885297559880995"/>
          <c:h val="0.952556300921804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'tan graph'!$C$1</c:f>
              <c:strCache>
                <c:ptCount val="1"/>
                <c:pt idx="0">
                  <c:v>tang x 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'tan graph'!$A$2:$A$50</c:f>
              <c:numCache>
                <c:formatCode>General</c:formatCode>
                <c:ptCount val="49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  <c:pt idx="25">
                  <c:v>375</c:v>
                </c:pt>
                <c:pt idx="26">
                  <c:v>390</c:v>
                </c:pt>
                <c:pt idx="27">
                  <c:v>405</c:v>
                </c:pt>
                <c:pt idx="28">
                  <c:v>420</c:v>
                </c:pt>
                <c:pt idx="29">
                  <c:v>435</c:v>
                </c:pt>
                <c:pt idx="30">
                  <c:v>450</c:v>
                </c:pt>
                <c:pt idx="31">
                  <c:v>465</c:v>
                </c:pt>
                <c:pt idx="32">
                  <c:v>480</c:v>
                </c:pt>
                <c:pt idx="33">
                  <c:v>495</c:v>
                </c:pt>
                <c:pt idx="34">
                  <c:v>510</c:v>
                </c:pt>
                <c:pt idx="35">
                  <c:v>525</c:v>
                </c:pt>
                <c:pt idx="36">
                  <c:v>540</c:v>
                </c:pt>
                <c:pt idx="37">
                  <c:v>555</c:v>
                </c:pt>
                <c:pt idx="38">
                  <c:v>570</c:v>
                </c:pt>
                <c:pt idx="39">
                  <c:v>585</c:v>
                </c:pt>
                <c:pt idx="40">
                  <c:v>600</c:v>
                </c:pt>
                <c:pt idx="41">
                  <c:v>615</c:v>
                </c:pt>
                <c:pt idx="42">
                  <c:v>630</c:v>
                </c:pt>
                <c:pt idx="43">
                  <c:v>645</c:v>
                </c:pt>
                <c:pt idx="44">
                  <c:v>660</c:v>
                </c:pt>
                <c:pt idx="45">
                  <c:v>675</c:v>
                </c:pt>
                <c:pt idx="46">
                  <c:v>690</c:v>
                </c:pt>
                <c:pt idx="47">
                  <c:v>705</c:v>
                </c:pt>
                <c:pt idx="48">
                  <c:v>720</c:v>
                </c:pt>
              </c:numCache>
            </c:numRef>
          </c:xVal>
          <c:yVal>
            <c:numRef>
              <c:f>'tan graph'!$C$2:$C$50</c:f>
              <c:numCache>
                <c:formatCode>0.0</c:formatCode>
                <c:ptCount val="49"/>
                <c:pt idx="0">
                  <c:v>0</c:v>
                </c:pt>
                <c:pt idx="1">
                  <c:v>0.2679491924311227</c:v>
                </c:pt>
                <c:pt idx="2">
                  <c:v>0.57735026918962573</c:v>
                </c:pt>
                <c:pt idx="3">
                  <c:v>0.99999999999999989</c:v>
                </c:pt>
                <c:pt idx="4">
                  <c:v>1.7320508075688767</c:v>
                </c:pt>
                <c:pt idx="5">
                  <c:v>3.7320508075688776</c:v>
                </c:pt>
                <c:pt idx="6" formatCode="0">
                  <c:v>1.6324552277619072E+16</c:v>
                </c:pt>
                <c:pt idx="7">
                  <c:v>-3.7320508075688763</c:v>
                </c:pt>
                <c:pt idx="8">
                  <c:v>-1.7320508075688783</c:v>
                </c:pt>
                <c:pt idx="9">
                  <c:v>-1.0000000000000002</c:v>
                </c:pt>
                <c:pt idx="10">
                  <c:v>-0.57735026918962573</c:v>
                </c:pt>
                <c:pt idx="11">
                  <c:v>-0.26794919243112297</c:v>
                </c:pt>
                <c:pt idx="12">
                  <c:v>-1.22514845490862E-16</c:v>
                </c:pt>
                <c:pt idx="13">
                  <c:v>0.2679491924311227</c:v>
                </c:pt>
                <c:pt idx="14">
                  <c:v>0.57735026918962595</c:v>
                </c:pt>
                <c:pt idx="15">
                  <c:v>0.99999999999999967</c:v>
                </c:pt>
                <c:pt idx="16">
                  <c:v>1.7320508075688754</c:v>
                </c:pt>
                <c:pt idx="17">
                  <c:v>3.732050807568879</c:v>
                </c:pt>
                <c:pt idx="18">
                  <c:v>5441517425873024</c:v>
                </c:pt>
                <c:pt idx="19">
                  <c:v>-3.7320508075688847</c:v>
                </c:pt>
                <c:pt idx="20">
                  <c:v>-1.732050807568877</c:v>
                </c:pt>
                <c:pt idx="21">
                  <c:v>-1.0000000000000004</c:v>
                </c:pt>
                <c:pt idx="22">
                  <c:v>-0.57735026918962651</c:v>
                </c:pt>
                <c:pt idx="23">
                  <c:v>-0.26794919243112264</c:v>
                </c:pt>
                <c:pt idx="24">
                  <c:v>-2.45029690981724E-16</c:v>
                </c:pt>
                <c:pt idx="25">
                  <c:v>0.26794919243112214</c:v>
                </c:pt>
                <c:pt idx="26">
                  <c:v>0.57735026918962584</c:v>
                </c:pt>
                <c:pt idx="27">
                  <c:v>0.99999999999999944</c:v>
                </c:pt>
                <c:pt idx="28">
                  <c:v>1.7320508075688785</c:v>
                </c:pt>
                <c:pt idx="29">
                  <c:v>3.7320508075688772</c:v>
                </c:pt>
                <c:pt idx="30">
                  <c:v>3264910455523814.5</c:v>
                </c:pt>
                <c:pt idx="31">
                  <c:v>-3.7320508075688865</c:v>
                </c:pt>
                <c:pt idx="32">
                  <c:v>-1.732050807568881</c:v>
                </c:pt>
                <c:pt idx="33">
                  <c:v>-0.99999999999999889</c:v>
                </c:pt>
                <c:pt idx="34">
                  <c:v>-0.5773502691896254</c:v>
                </c:pt>
                <c:pt idx="35">
                  <c:v>-0.26794919243112275</c:v>
                </c:pt>
                <c:pt idx="36">
                  <c:v>-3.67544536472586E-16</c:v>
                </c:pt>
                <c:pt idx="37">
                  <c:v>0.26794919243112197</c:v>
                </c:pt>
                <c:pt idx="38">
                  <c:v>0.57735026918962451</c:v>
                </c:pt>
                <c:pt idx="39">
                  <c:v>1.0000000000000009</c:v>
                </c:pt>
                <c:pt idx="40">
                  <c:v>1.7320508075688781</c:v>
                </c:pt>
                <c:pt idx="41">
                  <c:v>3.7320508075688754</c:v>
                </c:pt>
                <c:pt idx="42">
                  <c:v>2332078896802724.5</c:v>
                </c:pt>
                <c:pt idx="43">
                  <c:v>-3.7320508075688883</c:v>
                </c:pt>
                <c:pt idx="44">
                  <c:v>-1.7320508075688814</c:v>
                </c:pt>
                <c:pt idx="45">
                  <c:v>-0.99999999999999911</c:v>
                </c:pt>
                <c:pt idx="46">
                  <c:v>-0.57735026918962562</c:v>
                </c:pt>
                <c:pt idx="47">
                  <c:v>-0.26794919243112292</c:v>
                </c:pt>
                <c:pt idx="48">
                  <c:v>-4.90059381963448E-16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E35-488E-AA04-0F56CDB08BE7}"/>
            </c:ext>
          </c:extLst>
        </c:ser>
        <c:ser>
          <c:idx val="1"/>
          <c:order val="1"/>
          <c:tx>
            <c:strRef>
              <c:f>'[1]tang graph)'!$E$1</c:f>
              <c:strCache>
                <c:ptCount val="1"/>
                <c:pt idx="0">
                  <c:v>CSC  x 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accent6"/>
                </a:solidFill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'[1]tang graph)'!$A$2:$A$50</c:f>
              <c:numCache>
                <c:formatCode>General</c:formatCode>
                <c:ptCount val="49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  <c:pt idx="25">
                  <c:v>375</c:v>
                </c:pt>
                <c:pt idx="26">
                  <c:v>390</c:v>
                </c:pt>
                <c:pt idx="27">
                  <c:v>405</c:v>
                </c:pt>
                <c:pt idx="28">
                  <c:v>420</c:v>
                </c:pt>
                <c:pt idx="29">
                  <c:v>435</c:v>
                </c:pt>
                <c:pt idx="30">
                  <c:v>450</c:v>
                </c:pt>
                <c:pt idx="31">
                  <c:v>465</c:v>
                </c:pt>
                <c:pt idx="32">
                  <c:v>480</c:v>
                </c:pt>
                <c:pt idx="33">
                  <c:v>495</c:v>
                </c:pt>
                <c:pt idx="34">
                  <c:v>510</c:v>
                </c:pt>
                <c:pt idx="35">
                  <c:v>525</c:v>
                </c:pt>
                <c:pt idx="36">
                  <c:v>540</c:v>
                </c:pt>
                <c:pt idx="37">
                  <c:v>555</c:v>
                </c:pt>
                <c:pt idx="38">
                  <c:v>570</c:v>
                </c:pt>
                <c:pt idx="39">
                  <c:v>585</c:v>
                </c:pt>
                <c:pt idx="40">
                  <c:v>600</c:v>
                </c:pt>
                <c:pt idx="41">
                  <c:v>615</c:v>
                </c:pt>
                <c:pt idx="42">
                  <c:v>630</c:v>
                </c:pt>
                <c:pt idx="43">
                  <c:v>645</c:v>
                </c:pt>
                <c:pt idx="44">
                  <c:v>660</c:v>
                </c:pt>
                <c:pt idx="45">
                  <c:v>675</c:v>
                </c:pt>
                <c:pt idx="46">
                  <c:v>690</c:v>
                </c:pt>
                <c:pt idx="47">
                  <c:v>705</c:v>
                </c:pt>
                <c:pt idx="48">
                  <c:v>720</c:v>
                </c:pt>
              </c:numCache>
            </c:numRef>
          </c:xVal>
          <c:yVal>
            <c:numRef>
              <c:f>'[1]tang graph)'!$E$2:$E$50</c:f>
              <c:numCache>
                <c:formatCode>General</c:formatCode>
                <c:ptCount val="49"/>
                <c:pt idx="0">
                  <c:v>0</c:v>
                </c:pt>
                <c:pt idx="1">
                  <c:v>3.8637033051562737</c:v>
                </c:pt>
                <c:pt idx="2">
                  <c:v>2</c:v>
                </c:pt>
                <c:pt idx="3">
                  <c:v>1.4142135623730951</c:v>
                </c:pt>
                <c:pt idx="4">
                  <c:v>1.1547005383792517</c:v>
                </c:pt>
                <c:pt idx="5">
                  <c:v>1.035276180410083</c:v>
                </c:pt>
                <c:pt idx="6">
                  <c:v>1</c:v>
                </c:pt>
                <c:pt idx="7">
                  <c:v>1.035276180410083</c:v>
                </c:pt>
                <c:pt idx="8">
                  <c:v>1.1547005383792515</c:v>
                </c:pt>
                <c:pt idx="9">
                  <c:v>1.4142135623730949</c:v>
                </c:pt>
                <c:pt idx="10">
                  <c:v>2</c:v>
                </c:pt>
                <c:pt idx="11">
                  <c:v>3.8637033051562693</c:v>
                </c:pt>
                <c:pt idx="12">
                  <c:v>8162276138809536</c:v>
                </c:pt>
                <c:pt idx="13">
                  <c:v>-3.8637033051562728</c:v>
                </c:pt>
                <c:pt idx="14">
                  <c:v>-1.9999999999999996</c:v>
                </c:pt>
                <c:pt idx="15">
                  <c:v>-1.4142135623730951</c:v>
                </c:pt>
                <c:pt idx="16">
                  <c:v>-1.1547005383792519</c:v>
                </c:pt>
                <c:pt idx="17">
                  <c:v>-1.035276180410083</c:v>
                </c:pt>
                <c:pt idx="18">
                  <c:v>-1</c:v>
                </c:pt>
                <c:pt idx="19">
                  <c:v>-1.035276180410083</c:v>
                </c:pt>
                <c:pt idx="20">
                  <c:v>-1.1547005383792517</c:v>
                </c:pt>
                <c:pt idx="21">
                  <c:v>-1.4142135623730947</c:v>
                </c:pt>
                <c:pt idx="22">
                  <c:v>-1.9999999999999982</c:v>
                </c:pt>
                <c:pt idx="23">
                  <c:v>-3.8637033051562741</c:v>
                </c:pt>
                <c:pt idx="24">
                  <c:v>-4081138069404768</c:v>
                </c:pt>
                <c:pt idx="25">
                  <c:v>3.8637033051562808</c:v>
                </c:pt>
                <c:pt idx="26">
                  <c:v>2</c:v>
                </c:pt>
                <c:pt idx="27">
                  <c:v>1.4142135623730954</c:v>
                </c:pt>
                <c:pt idx="28">
                  <c:v>1.1547005383792512</c:v>
                </c:pt>
                <c:pt idx="29">
                  <c:v>1.035276180410083</c:v>
                </c:pt>
                <c:pt idx="30">
                  <c:v>1</c:v>
                </c:pt>
                <c:pt idx="31">
                  <c:v>1.035276180410083</c:v>
                </c:pt>
                <c:pt idx="32">
                  <c:v>1.1547005383792508</c:v>
                </c:pt>
                <c:pt idx="33">
                  <c:v>1.4142135623730958</c:v>
                </c:pt>
                <c:pt idx="34">
                  <c:v>2.0000000000000009</c:v>
                </c:pt>
                <c:pt idx="35">
                  <c:v>3.8637033051562728</c:v>
                </c:pt>
                <c:pt idx="36">
                  <c:v>2720758712936512</c:v>
                </c:pt>
                <c:pt idx="37">
                  <c:v>-3.8637033051562826</c:v>
                </c:pt>
                <c:pt idx="38">
                  <c:v>-2.0000000000000036</c:v>
                </c:pt>
                <c:pt idx="39">
                  <c:v>-1.4142135623730943</c:v>
                </c:pt>
                <c:pt idx="40">
                  <c:v>-1.1547005383792515</c:v>
                </c:pt>
                <c:pt idx="41">
                  <c:v>-1.0352761804100832</c:v>
                </c:pt>
                <c:pt idx="42">
                  <c:v>-1</c:v>
                </c:pt>
                <c:pt idx="43">
                  <c:v>-1.035276180410083</c:v>
                </c:pt>
                <c:pt idx="44">
                  <c:v>-1.1547005383792508</c:v>
                </c:pt>
                <c:pt idx="45">
                  <c:v>-1.4142135623730956</c:v>
                </c:pt>
                <c:pt idx="46">
                  <c:v>-2.0000000000000004</c:v>
                </c:pt>
                <c:pt idx="47">
                  <c:v>-3.8637033051562701</c:v>
                </c:pt>
                <c:pt idx="48">
                  <c:v>-2040569034702384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E35-488E-AA04-0F56CDB08BE7}"/>
            </c:ext>
          </c:extLst>
        </c:ser>
        <c:ser>
          <c:idx val="2"/>
          <c:order val="2"/>
          <c:tx>
            <c:strRef>
              <c:f>'tan graph'!$D$1</c:f>
              <c:strCache>
                <c:ptCount val="1"/>
                <c:pt idx="0">
                  <c:v>sin(x)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'tan graph'!$A$2:$A$50</c:f>
              <c:numCache>
                <c:formatCode>General</c:formatCode>
                <c:ptCount val="49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  <c:pt idx="25">
                  <c:v>375</c:v>
                </c:pt>
                <c:pt idx="26">
                  <c:v>390</c:v>
                </c:pt>
                <c:pt idx="27">
                  <c:v>405</c:v>
                </c:pt>
                <c:pt idx="28">
                  <c:v>420</c:v>
                </c:pt>
                <c:pt idx="29">
                  <c:v>435</c:v>
                </c:pt>
                <c:pt idx="30">
                  <c:v>450</c:v>
                </c:pt>
                <c:pt idx="31">
                  <c:v>465</c:v>
                </c:pt>
                <c:pt idx="32">
                  <c:v>480</c:v>
                </c:pt>
                <c:pt idx="33">
                  <c:v>495</c:v>
                </c:pt>
                <c:pt idx="34">
                  <c:v>510</c:v>
                </c:pt>
                <c:pt idx="35">
                  <c:v>525</c:v>
                </c:pt>
                <c:pt idx="36">
                  <c:v>540</c:v>
                </c:pt>
                <c:pt idx="37">
                  <c:v>555</c:v>
                </c:pt>
                <c:pt idx="38">
                  <c:v>570</c:v>
                </c:pt>
                <c:pt idx="39">
                  <c:v>585</c:v>
                </c:pt>
                <c:pt idx="40">
                  <c:v>600</c:v>
                </c:pt>
                <c:pt idx="41">
                  <c:v>615</c:v>
                </c:pt>
                <c:pt idx="42">
                  <c:v>630</c:v>
                </c:pt>
                <c:pt idx="43">
                  <c:v>645</c:v>
                </c:pt>
                <c:pt idx="44">
                  <c:v>660</c:v>
                </c:pt>
                <c:pt idx="45">
                  <c:v>675</c:v>
                </c:pt>
                <c:pt idx="46">
                  <c:v>690</c:v>
                </c:pt>
                <c:pt idx="47">
                  <c:v>705</c:v>
                </c:pt>
                <c:pt idx="48">
                  <c:v>720</c:v>
                </c:pt>
              </c:numCache>
            </c:numRef>
          </c:xVal>
          <c:yVal>
            <c:numRef>
              <c:f>'tan graph'!$D$2:$D$50</c:f>
              <c:numCache>
                <c:formatCode>0.0</c:formatCode>
                <c:ptCount val="49"/>
                <c:pt idx="0">
                  <c:v>0</c:v>
                </c:pt>
                <c:pt idx="1">
                  <c:v>0.25881904510252074</c:v>
                </c:pt>
                <c:pt idx="2">
                  <c:v>0.49999999999999994</c:v>
                </c:pt>
                <c:pt idx="3">
                  <c:v>0.70710678118654746</c:v>
                </c:pt>
                <c:pt idx="4">
                  <c:v>0.8660254037844386</c:v>
                </c:pt>
                <c:pt idx="5">
                  <c:v>0.96592582628906831</c:v>
                </c:pt>
                <c:pt idx="6">
                  <c:v>1</c:v>
                </c:pt>
                <c:pt idx="7">
                  <c:v>0.96592582628906831</c:v>
                </c:pt>
                <c:pt idx="8">
                  <c:v>0.86602540378443871</c:v>
                </c:pt>
                <c:pt idx="9">
                  <c:v>0.70710678118654757</c:v>
                </c:pt>
                <c:pt idx="10">
                  <c:v>0.49999999999999994</c:v>
                </c:pt>
                <c:pt idx="11">
                  <c:v>0.25881904510252102</c:v>
                </c:pt>
                <c:pt idx="12">
                  <c:v>1.22514845490862E-16</c:v>
                </c:pt>
                <c:pt idx="13">
                  <c:v>-0.25881904510252079</c:v>
                </c:pt>
                <c:pt idx="14">
                  <c:v>-0.50000000000000011</c:v>
                </c:pt>
                <c:pt idx="15">
                  <c:v>-0.70710678118654746</c:v>
                </c:pt>
                <c:pt idx="16">
                  <c:v>-0.86602540378443837</c:v>
                </c:pt>
                <c:pt idx="17">
                  <c:v>-0.96592582628906831</c:v>
                </c:pt>
                <c:pt idx="18">
                  <c:v>-1</c:v>
                </c:pt>
                <c:pt idx="19">
                  <c:v>-0.96592582628906842</c:v>
                </c:pt>
                <c:pt idx="20">
                  <c:v>-0.8660254037844386</c:v>
                </c:pt>
                <c:pt idx="21">
                  <c:v>-0.70710678118654768</c:v>
                </c:pt>
                <c:pt idx="22">
                  <c:v>-0.50000000000000044</c:v>
                </c:pt>
                <c:pt idx="23">
                  <c:v>-0.25881904510252068</c:v>
                </c:pt>
                <c:pt idx="24">
                  <c:v>-2.45029690981724E-16</c:v>
                </c:pt>
                <c:pt idx="25">
                  <c:v>0.25881904510252024</c:v>
                </c:pt>
                <c:pt idx="26">
                  <c:v>0.5</c:v>
                </c:pt>
                <c:pt idx="27">
                  <c:v>0.70710678118654735</c:v>
                </c:pt>
                <c:pt idx="28">
                  <c:v>0.86602540378443882</c:v>
                </c:pt>
                <c:pt idx="29">
                  <c:v>0.96592582628906831</c:v>
                </c:pt>
                <c:pt idx="30">
                  <c:v>1</c:v>
                </c:pt>
                <c:pt idx="31">
                  <c:v>0.96592582628906842</c:v>
                </c:pt>
                <c:pt idx="32">
                  <c:v>0.86602540378443915</c:v>
                </c:pt>
                <c:pt idx="33">
                  <c:v>0.70710678118654713</c:v>
                </c:pt>
                <c:pt idx="34">
                  <c:v>0.49999999999999978</c:v>
                </c:pt>
                <c:pt idx="35">
                  <c:v>0.25881904510252079</c:v>
                </c:pt>
                <c:pt idx="36">
                  <c:v>3.67544536472586E-16</c:v>
                </c:pt>
                <c:pt idx="37">
                  <c:v>-0.25881904510252013</c:v>
                </c:pt>
                <c:pt idx="38">
                  <c:v>-0.49999999999999917</c:v>
                </c:pt>
                <c:pt idx="39">
                  <c:v>-0.70710678118654791</c:v>
                </c:pt>
                <c:pt idx="40">
                  <c:v>-0.86602540378443871</c:v>
                </c:pt>
                <c:pt idx="41">
                  <c:v>-0.9659258262890682</c:v>
                </c:pt>
                <c:pt idx="42">
                  <c:v>-1</c:v>
                </c:pt>
                <c:pt idx="43">
                  <c:v>-0.96592582628906842</c:v>
                </c:pt>
                <c:pt idx="44">
                  <c:v>-0.86602540378443915</c:v>
                </c:pt>
                <c:pt idx="45">
                  <c:v>-0.70710678118654724</c:v>
                </c:pt>
                <c:pt idx="46">
                  <c:v>-0.49999999999999989</c:v>
                </c:pt>
                <c:pt idx="47">
                  <c:v>-0.25881904510252096</c:v>
                </c:pt>
                <c:pt idx="48">
                  <c:v>-4.90059381963448E-16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E35-488E-AA04-0F56CDB08BE7}"/>
            </c:ext>
          </c:extLst>
        </c:ser>
        <c:ser>
          <c:idx val="3"/>
          <c:order val="3"/>
          <c:tx>
            <c:strRef>
              <c:f>'[1]tang graph)'!$F$1</c:f>
              <c:strCache>
                <c:ptCount val="1"/>
                <c:pt idx="0">
                  <c:v>y=2*cos(𝜃)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'[1]tang graph)'!$A$2:$A$50</c:f>
              <c:numCache>
                <c:formatCode>General</c:formatCode>
                <c:ptCount val="49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  <c:pt idx="25">
                  <c:v>375</c:v>
                </c:pt>
                <c:pt idx="26">
                  <c:v>390</c:v>
                </c:pt>
                <c:pt idx="27">
                  <c:v>405</c:v>
                </c:pt>
                <c:pt idx="28">
                  <c:v>420</c:v>
                </c:pt>
                <c:pt idx="29">
                  <c:v>435</c:v>
                </c:pt>
                <c:pt idx="30">
                  <c:v>450</c:v>
                </c:pt>
                <c:pt idx="31">
                  <c:v>465</c:v>
                </c:pt>
                <c:pt idx="32">
                  <c:v>480</c:v>
                </c:pt>
                <c:pt idx="33">
                  <c:v>495</c:v>
                </c:pt>
                <c:pt idx="34">
                  <c:v>510</c:v>
                </c:pt>
                <c:pt idx="35">
                  <c:v>525</c:v>
                </c:pt>
                <c:pt idx="36">
                  <c:v>540</c:v>
                </c:pt>
                <c:pt idx="37">
                  <c:v>555</c:v>
                </c:pt>
                <c:pt idx="38">
                  <c:v>570</c:v>
                </c:pt>
                <c:pt idx="39">
                  <c:v>585</c:v>
                </c:pt>
                <c:pt idx="40">
                  <c:v>600</c:v>
                </c:pt>
                <c:pt idx="41">
                  <c:v>615</c:v>
                </c:pt>
                <c:pt idx="42">
                  <c:v>630</c:v>
                </c:pt>
                <c:pt idx="43">
                  <c:v>645</c:v>
                </c:pt>
                <c:pt idx="44">
                  <c:v>660</c:v>
                </c:pt>
                <c:pt idx="45">
                  <c:v>675</c:v>
                </c:pt>
                <c:pt idx="46">
                  <c:v>690</c:v>
                </c:pt>
                <c:pt idx="47">
                  <c:v>705</c:v>
                </c:pt>
                <c:pt idx="48">
                  <c:v>720</c:v>
                </c:pt>
              </c:numCache>
            </c:numRef>
          </c:xVal>
          <c:yVal>
            <c:numRef>
              <c:f>'[1]tang graph)'!$F$2:$F$50</c:f>
              <c:numCache>
                <c:formatCode>General</c:formatCode>
                <c:ptCount val="49"/>
                <c:pt idx="0">
                  <c:v>2</c:v>
                </c:pt>
                <c:pt idx="1">
                  <c:v>1.9318516525781366</c:v>
                </c:pt>
                <c:pt idx="2">
                  <c:v>1.7320508075688774</c:v>
                </c:pt>
                <c:pt idx="3">
                  <c:v>1.4142135623730951</c:v>
                </c:pt>
                <c:pt idx="4">
                  <c:v>1.0000000000000002</c:v>
                </c:pt>
                <c:pt idx="5">
                  <c:v>0.51763809020504148</c:v>
                </c:pt>
                <c:pt idx="6">
                  <c:v>1.22514845490862E-16</c:v>
                </c:pt>
                <c:pt idx="7">
                  <c:v>-0.5176380902050417</c:v>
                </c:pt>
                <c:pt idx="8">
                  <c:v>-0.99999999999999956</c:v>
                </c:pt>
                <c:pt idx="9">
                  <c:v>-1.4142135623730949</c:v>
                </c:pt>
                <c:pt idx="10">
                  <c:v>-1.7320508075688774</c:v>
                </c:pt>
                <c:pt idx="11">
                  <c:v>-1.9318516525781364</c:v>
                </c:pt>
                <c:pt idx="12">
                  <c:v>-2</c:v>
                </c:pt>
                <c:pt idx="13">
                  <c:v>-1.9318516525781366</c:v>
                </c:pt>
                <c:pt idx="14">
                  <c:v>-1.7320508075688772</c:v>
                </c:pt>
                <c:pt idx="15">
                  <c:v>-1.4142135623730954</c:v>
                </c:pt>
                <c:pt idx="16">
                  <c:v>-1.0000000000000009</c:v>
                </c:pt>
                <c:pt idx="17">
                  <c:v>-0.51763809020504126</c:v>
                </c:pt>
                <c:pt idx="18">
                  <c:v>-3.67544536472586E-16</c:v>
                </c:pt>
                <c:pt idx="19">
                  <c:v>0.51763809020504059</c:v>
                </c:pt>
                <c:pt idx="20">
                  <c:v>1.0000000000000002</c:v>
                </c:pt>
                <c:pt idx="21">
                  <c:v>1.4142135623730947</c:v>
                </c:pt>
                <c:pt idx="22">
                  <c:v>1.7320508075688767</c:v>
                </c:pt>
                <c:pt idx="23">
                  <c:v>1.9318516525781366</c:v>
                </c:pt>
                <c:pt idx="24">
                  <c:v>2</c:v>
                </c:pt>
                <c:pt idx="25">
                  <c:v>1.9318516525781368</c:v>
                </c:pt>
                <c:pt idx="26">
                  <c:v>1.7320508075688772</c:v>
                </c:pt>
                <c:pt idx="27">
                  <c:v>1.4142135623730954</c:v>
                </c:pt>
                <c:pt idx="28">
                  <c:v>0.99999999999999944</c:v>
                </c:pt>
                <c:pt idx="29">
                  <c:v>0.51763809020504148</c:v>
                </c:pt>
                <c:pt idx="30">
                  <c:v>6.1257422745431001E-16</c:v>
                </c:pt>
                <c:pt idx="31">
                  <c:v>-0.51763809020504037</c:v>
                </c:pt>
                <c:pt idx="32">
                  <c:v>-0.99999999999999845</c:v>
                </c:pt>
                <c:pt idx="33">
                  <c:v>-1.4142135623730958</c:v>
                </c:pt>
                <c:pt idx="34">
                  <c:v>-1.7320508075688776</c:v>
                </c:pt>
                <c:pt idx="35">
                  <c:v>-1.9318516525781366</c:v>
                </c:pt>
                <c:pt idx="36">
                  <c:v>-2</c:v>
                </c:pt>
                <c:pt idx="37">
                  <c:v>-1.9318516525781368</c:v>
                </c:pt>
                <c:pt idx="38">
                  <c:v>-1.7320508075688783</c:v>
                </c:pt>
                <c:pt idx="39">
                  <c:v>-1.4142135623730943</c:v>
                </c:pt>
                <c:pt idx="40">
                  <c:v>-0.99999999999999967</c:v>
                </c:pt>
                <c:pt idx="41">
                  <c:v>-0.51763809020504181</c:v>
                </c:pt>
                <c:pt idx="42">
                  <c:v>-8.5760391843603401E-16</c:v>
                </c:pt>
                <c:pt idx="43">
                  <c:v>0.51763809020504015</c:v>
                </c:pt>
                <c:pt idx="44">
                  <c:v>0.99999999999999822</c:v>
                </c:pt>
                <c:pt idx="45">
                  <c:v>1.4142135623730956</c:v>
                </c:pt>
                <c:pt idx="46">
                  <c:v>1.7320508075688774</c:v>
                </c:pt>
                <c:pt idx="47">
                  <c:v>1.9318516525781364</c:v>
                </c:pt>
                <c:pt idx="48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E35-488E-AA04-0F56CDB08BE7}"/>
            </c:ext>
          </c:extLst>
        </c:ser>
        <c:ser>
          <c:idx val="4"/>
          <c:order val="4"/>
          <c:tx>
            <c:strRef>
              <c:f>'[1]tang graph)'!$G$1</c:f>
              <c:strCache>
                <c:ptCount val="1"/>
                <c:pt idx="0">
                  <c:v>y=sin(2*𝜃)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accent2"/>
                </a:solidFill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'[1]tang graph)'!$A$2:$A$50</c:f>
              <c:numCache>
                <c:formatCode>General</c:formatCode>
                <c:ptCount val="49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  <c:pt idx="25">
                  <c:v>375</c:v>
                </c:pt>
                <c:pt idx="26">
                  <c:v>390</c:v>
                </c:pt>
                <c:pt idx="27">
                  <c:v>405</c:v>
                </c:pt>
                <c:pt idx="28">
                  <c:v>420</c:v>
                </c:pt>
                <c:pt idx="29">
                  <c:v>435</c:v>
                </c:pt>
                <c:pt idx="30">
                  <c:v>450</c:v>
                </c:pt>
                <c:pt idx="31">
                  <c:v>465</c:v>
                </c:pt>
                <c:pt idx="32">
                  <c:v>480</c:v>
                </c:pt>
                <c:pt idx="33">
                  <c:v>495</c:v>
                </c:pt>
                <c:pt idx="34">
                  <c:v>510</c:v>
                </c:pt>
                <c:pt idx="35">
                  <c:v>525</c:v>
                </c:pt>
                <c:pt idx="36">
                  <c:v>540</c:v>
                </c:pt>
                <c:pt idx="37">
                  <c:v>555</c:v>
                </c:pt>
                <c:pt idx="38">
                  <c:v>570</c:v>
                </c:pt>
                <c:pt idx="39">
                  <c:v>585</c:v>
                </c:pt>
                <c:pt idx="40">
                  <c:v>600</c:v>
                </c:pt>
                <c:pt idx="41">
                  <c:v>615</c:v>
                </c:pt>
                <c:pt idx="42">
                  <c:v>630</c:v>
                </c:pt>
                <c:pt idx="43">
                  <c:v>645</c:v>
                </c:pt>
                <c:pt idx="44">
                  <c:v>660</c:v>
                </c:pt>
                <c:pt idx="45">
                  <c:v>675</c:v>
                </c:pt>
                <c:pt idx="46">
                  <c:v>690</c:v>
                </c:pt>
                <c:pt idx="47">
                  <c:v>705</c:v>
                </c:pt>
                <c:pt idx="48">
                  <c:v>720</c:v>
                </c:pt>
              </c:numCache>
            </c:numRef>
          </c:xVal>
          <c:yVal>
            <c:numRef>
              <c:f>'[1]tang graph)'!$G$2:$G$50</c:f>
              <c:numCache>
                <c:formatCode>General</c:formatCode>
                <c:ptCount val="49"/>
                <c:pt idx="0">
                  <c:v>0</c:v>
                </c:pt>
                <c:pt idx="1">
                  <c:v>0.49999999999999994</c:v>
                </c:pt>
                <c:pt idx="2">
                  <c:v>0.8660254037844386</c:v>
                </c:pt>
                <c:pt idx="3">
                  <c:v>1</c:v>
                </c:pt>
                <c:pt idx="4">
                  <c:v>0.86602540378443871</c:v>
                </c:pt>
                <c:pt idx="5">
                  <c:v>0.49999999999999994</c:v>
                </c:pt>
                <c:pt idx="6">
                  <c:v>1.22514845490862E-16</c:v>
                </c:pt>
                <c:pt idx="7">
                  <c:v>-0.50000000000000011</c:v>
                </c:pt>
                <c:pt idx="8">
                  <c:v>-0.86602540378443837</c:v>
                </c:pt>
                <c:pt idx="9">
                  <c:v>-1</c:v>
                </c:pt>
                <c:pt idx="10">
                  <c:v>-0.8660254037844386</c:v>
                </c:pt>
                <c:pt idx="11">
                  <c:v>-0.50000000000000044</c:v>
                </c:pt>
                <c:pt idx="12">
                  <c:v>-2.45029690981724E-16</c:v>
                </c:pt>
                <c:pt idx="13">
                  <c:v>0.5</c:v>
                </c:pt>
                <c:pt idx="14">
                  <c:v>0.86602540378443882</c:v>
                </c:pt>
                <c:pt idx="15">
                  <c:v>1</c:v>
                </c:pt>
                <c:pt idx="16">
                  <c:v>0.86602540378443915</c:v>
                </c:pt>
                <c:pt idx="17">
                  <c:v>0.49999999999999978</c:v>
                </c:pt>
                <c:pt idx="18">
                  <c:v>3.67544536472586E-16</c:v>
                </c:pt>
                <c:pt idx="19">
                  <c:v>-0.49999999999999917</c:v>
                </c:pt>
                <c:pt idx="20">
                  <c:v>-0.86602540378443871</c:v>
                </c:pt>
                <c:pt idx="21">
                  <c:v>-1</c:v>
                </c:pt>
                <c:pt idx="22">
                  <c:v>-0.86602540378443915</c:v>
                </c:pt>
                <c:pt idx="23">
                  <c:v>-0.49999999999999989</c:v>
                </c:pt>
                <c:pt idx="24">
                  <c:v>-4.90059381963448E-16</c:v>
                </c:pt>
                <c:pt idx="25">
                  <c:v>0.49999999999999906</c:v>
                </c:pt>
                <c:pt idx="26">
                  <c:v>0.86602540378443871</c:v>
                </c:pt>
                <c:pt idx="27">
                  <c:v>1</c:v>
                </c:pt>
                <c:pt idx="28">
                  <c:v>0.86602540378443837</c:v>
                </c:pt>
                <c:pt idx="29">
                  <c:v>0.5</c:v>
                </c:pt>
                <c:pt idx="30">
                  <c:v>6.1257422745431001E-16</c:v>
                </c:pt>
                <c:pt idx="31">
                  <c:v>-0.49999999999999895</c:v>
                </c:pt>
                <c:pt idx="32">
                  <c:v>-0.86602540378443771</c:v>
                </c:pt>
                <c:pt idx="33">
                  <c:v>-1</c:v>
                </c:pt>
                <c:pt idx="34">
                  <c:v>-0.86602540378443837</c:v>
                </c:pt>
                <c:pt idx="35">
                  <c:v>-0.50000000000000011</c:v>
                </c:pt>
                <c:pt idx="36">
                  <c:v>-7.3508907294517201E-16</c:v>
                </c:pt>
                <c:pt idx="37">
                  <c:v>0.49999999999999883</c:v>
                </c:pt>
                <c:pt idx="38">
                  <c:v>0.86602540378443771</c:v>
                </c:pt>
                <c:pt idx="39">
                  <c:v>1</c:v>
                </c:pt>
                <c:pt idx="40">
                  <c:v>0.86602540378443849</c:v>
                </c:pt>
                <c:pt idx="41">
                  <c:v>0.50000000000000022</c:v>
                </c:pt>
                <c:pt idx="42">
                  <c:v>8.5760391843603401E-16</c:v>
                </c:pt>
                <c:pt idx="43">
                  <c:v>-0.49999999999999872</c:v>
                </c:pt>
                <c:pt idx="44">
                  <c:v>-0.8660254037844376</c:v>
                </c:pt>
                <c:pt idx="45">
                  <c:v>-1</c:v>
                </c:pt>
                <c:pt idx="46">
                  <c:v>-0.86602540378443849</c:v>
                </c:pt>
                <c:pt idx="47">
                  <c:v>-0.50000000000000033</c:v>
                </c:pt>
                <c:pt idx="48">
                  <c:v>-9.8011876392689601E-16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E35-488E-AA04-0F56CDB08BE7}"/>
            </c:ext>
          </c:extLst>
        </c:ser>
        <c:ser>
          <c:idx val="5"/>
          <c:order val="5"/>
          <c:tx>
            <c:strRef>
              <c:f>'tan graph'!$H$1</c:f>
              <c:strCache>
                <c:ptCount val="1"/>
                <c:pt idx="0">
                  <c:v>cos(𝜃)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'tan graph'!$A$2:$A$50</c:f>
              <c:numCache>
                <c:formatCode>General</c:formatCode>
                <c:ptCount val="49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  <c:pt idx="25">
                  <c:v>375</c:v>
                </c:pt>
                <c:pt idx="26">
                  <c:v>390</c:v>
                </c:pt>
                <c:pt idx="27">
                  <c:v>405</c:v>
                </c:pt>
                <c:pt idx="28">
                  <c:v>420</c:v>
                </c:pt>
                <c:pt idx="29">
                  <c:v>435</c:v>
                </c:pt>
                <c:pt idx="30">
                  <c:v>450</c:v>
                </c:pt>
                <c:pt idx="31">
                  <c:v>465</c:v>
                </c:pt>
                <c:pt idx="32">
                  <c:v>480</c:v>
                </c:pt>
                <c:pt idx="33">
                  <c:v>495</c:v>
                </c:pt>
                <c:pt idx="34">
                  <c:v>510</c:v>
                </c:pt>
                <c:pt idx="35">
                  <c:v>525</c:v>
                </c:pt>
                <c:pt idx="36">
                  <c:v>540</c:v>
                </c:pt>
                <c:pt idx="37">
                  <c:v>555</c:v>
                </c:pt>
                <c:pt idx="38">
                  <c:v>570</c:v>
                </c:pt>
                <c:pt idx="39">
                  <c:v>585</c:v>
                </c:pt>
                <c:pt idx="40">
                  <c:v>600</c:v>
                </c:pt>
                <c:pt idx="41">
                  <c:v>615</c:v>
                </c:pt>
                <c:pt idx="42">
                  <c:v>630</c:v>
                </c:pt>
                <c:pt idx="43">
                  <c:v>645</c:v>
                </c:pt>
                <c:pt idx="44">
                  <c:v>660</c:v>
                </c:pt>
                <c:pt idx="45">
                  <c:v>675</c:v>
                </c:pt>
                <c:pt idx="46">
                  <c:v>690</c:v>
                </c:pt>
                <c:pt idx="47">
                  <c:v>705</c:v>
                </c:pt>
                <c:pt idx="48">
                  <c:v>720</c:v>
                </c:pt>
              </c:numCache>
            </c:numRef>
          </c:xVal>
          <c:yVal>
            <c:numRef>
              <c:f>'tan graph'!$H$2:$H$50</c:f>
              <c:numCache>
                <c:formatCode>0.0</c:formatCode>
                <c:ptCount val="49"/>
                <c:pt idx="0">
                  <c:v>1</c:v>
                </c:pt>
                <c:pt idx="1">
                  <c:v>0.96592582628906831</c:v>
                </c:pt>
                <c:pt idx="2">
                  <c:v>0.86602540378443871</c:v>
                </c:pt>
                <c:pt idx="3">
                  <c:v>0.70710678118654757</c:v>
                </c:pt>
                <c:pt idx="4">
                  <c:v>0.50000000000000011</c:v>
                </c:pt>
                <c:pt idx="5">
                  <c:v>0.25881904510252074</c:v>
                </c:pt>
                <c:pt idx="6">
                  <c:v>6.1257422745431001E-17</c:v>
                </c:pt>
                <c:pt idx="7">
                  <c:v>-0.25881904510252085</c:v>
                </c:pt>
                <c:pt idx="8">
                  <c:v>-0.49999999999999978</c:v>
                </c:pt>
                <c:pt idx="9">
                  <c:v>-0.70710678118654746</c:v>
                </c:pt>
                <c:pt idx="10">
                  <c:v>-0.86602540378443871</c:v>
                </c:pt>
                <c:pt idx="11">
                  <c:v>-0.9659258262890682</c:v>
                </c:pt>
                <c:pt idx="12">
                  <c:v>-1</c:v>
                </c:pt>
                <c:pt idx="13">
                  <c:v>-0.96592582628906831</c:v>
                </c:pt>
                <c:pt idx="14">
                  <c:v>-0.8660254037844386</c:v>
                </c:pt>
                <c:pt idx="15">
                  <c:v>-0.70710678118654768</c:v>
                </c:pt>
                <c:pt idx="16">
                  <c:v>-0.50000000000000044</c:v>
                </c:pt>
                <c:pt idx="17">
                  <c:v>-0.25881904510252063</c:v>
                </c:pt>
                <c:pt idx="18">
                  <c:v>-1.83772268236293E-16</c:v>
                </c:pt>
                <c:pt idx="19">
                  <c:v>0.2588190451025203</c:v>
                </c:pt>
                <c:pt idx="20">
                  <c:v>0.50000000000000011</c:v>
                </c:pt>
                <c:pt idx="21">
                  <c:v>0.70710678118654735</c:v>
                </c:pt>
                <c:pt idx="22">
                  <c:v>0.86602540378443837</c:v>
                </c:pt>
                <c:pt idx="23">
                  <c:v>0.96592582628906831</c:v>
                </c:pt>
                <c:pt idx="24">
                  <c:v>1</c:v>
                </c:pt>
                <c:pt idx="25">
                  <c:v>0.96592582628906842</c:v>
                </c:pt>
                <c:pt idx="26">
                  <c:v>0.8660254037844386</c:v>
                </c:pt>
                <c:pt idx="27">
                  <c:v>0.70710678118654768</c:v>
                </c:pt>
                <c:pt idx="28">
                  <c:v>0.49999999999999972</c:v>
                </c:pt>
                <c:pt idx="29">
                  <c:v>0.25881904510252074</c:v>
                </c:pt>
                <c:pt idx="30">
                  <c:v>3.06287113727155E-16</c:v>
                </c:pt>
                <c:pt idx="31">
                  <c:v>-0.25881904510252018</c:v>
                </c:pt>
                <c:pt idx="32">
                  <c:v>-0.49999999999999922</c:v>
                </c:pt>
                <c:pt idx="33">
                  <c:v>-0.70710678118654791</c:v>
                </c:pt>
                <c:pt idx="34">
                  <c:v>-0.86602540378443882</c:v>
                </c:pt>
                <c:pt idx="35">
                  <c:v>-0.96592582628906831</c:v>
                </c:pt>
                <c:pt idx="36">
                  <c:v>-1</c:v>
                </c:pt>
                <c:pt idx="37">
                  <c:v>-0.96592582628906842</c:v>
                </c:pt>
                <c:pt idx="38">
                  <c:v>-0.86602540378443915</c:v>
                </c:pt>
                <c:pt idx="39">
                  <c:v>-0.70710678118654713</c:v>
                </c:pt>
                <c:pt idx="40">
                  <c:v>-0.49999999999999983</c:v>
                </c:pt>
                <c:pt idx="41">
                  <c:v>-0.25881904510252091</c:v>
                </c:pt>
                <c:pt idx="42">
                  <c:v>-4.28801959218017E-16</c:v>
                </c:pt>
                <c:pt idx="43">
                  <c:v>0.25881904510252007</c:v>
                </c:pt>
                <c:pt idx="44">
                  <c:v>0.49999999999999911</c:v>
                </c:pt>
                <c:pt idx="45">
                  <c:v>0.70710678118654779</c:v>
                </c:pt>
                <c:pt idx="46">
                  <c:v>0.86602540378443871</c:v>
                </c:pt>
                <c:pt idx="47">
                  <c:v>0.9659258262890682</c:v>
                </c:pt>
                <c:pt idx="4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E35-488E-AA04-0F56CDB08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1200048"/>
        <c:axId val="681200528"/>
        <c:extLst/>
      </c:scatterChart>
      <c:valAx>
        <c:axId val="681200048"/>
        <c:scaling>
          <c:orientation val="minMax"/>
          <c:max val="72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200528"/>
        <c:crosses val="autoZero"/>
        <c:crossBetween val="midCat"/>
        <c:majorUnit val="30"/>
      </c:valAx>
      <c:valAx>
        <c:axId val="681200528"/>
        <c:scaling>
          <c:orientation val="minMax"/>
          <c:max val="2.1"/>
          <c:min val="-2.1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200048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554531197305145"/>
          <c:y val="4.8557624241871947E-2"/>
          <c:w val="0.24801635843322414"/>
          <c:h val="0.135008109869258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0075603923522981E-2"/>
          <c:y val="2.6707919180705881E-2"/>
          <c:w val="0.90885297559880995"/>
          <c:h val="0.952556300921804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'sin cos 2(2theta） '!$C$1</c:f>
              <c:strCache>
                <c:ptCount val="1"/>
                <c:pt idx="0">
                  <c:v>sine x 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'sin cos 2(2theta） '!$A$2:$A$50</c:f>
              <c:numCache>
                <c:formatCode>General</c:formatCode>
                <c:ptCount val="49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  <c:pt idx="25">
                  <c:v>375</c:v>
                </c:pt>
                <c:pt idx="26">
                  <c:v>390</c:v>
                </c:pt>
                <c:pt idx="27">
                  <c:v>405</c:v>
                </c:pt>
                <c:pt idx="28">
                  <c:v>420</c:v>
                </c:pt>
                <c:pt idx="29">
                  <c:v>435</c:v>
                </c:pt>
                <c:pt idx="30">
                  <c:v>450</c:v>
                </c:pt>
                <c:pt idx="31">
                  <c:v>465</c:v>
                </c:pt>
                <c:pt idx="32">
                  <c:v>480</c:v>
                </c:pt>
                <c:pt idx="33">
                  <c:v>495</c:v>
                </c:pt>
                <c:pt idx="34">
                  <c:v>510</c:v>
                </c:pt>
                <c:pt idx="35">
                  <c:v>525</c:v>
                </c:pt>
                <c:pt idx="36">
                  <c:v>540</c:v>
                </c:pt>
                <c:pt idx="37">
                  <c:v>555</c:v>
                </c:pt>
                <c:pt idx="38">
                  <c:v>570</c:v>
                </c:pt>
                <c:pt idx="39">
                  <c:v>585</c:v>
                </c:pt>
                <c:pt idx="40">
                  <c:v>600</c:v>
                </c:pt>
                <c:pt idx="41">
                  <c:v>615</c:v>
                </c:pt>
                <c:pt idx="42">
                  <c:v>630</c:v>
                </c:pt>
                <c:pt idx="43">
                  <c:v>645</c:v>
                </c:pt>
                <c:pt idx="44">
                  <c:v>660</c:v>
                </c:pt>
                <c:pt idx="45">
                  <c:v>675</c:v>
                </c:pt>
                <c:pt idx="46">
                  <c:v>690</c:v>
                </c:pt>
                <c:pt idx="47">
                  <c:v>705</c:v>
                </c:pt>
                <c:pt idx="48">
                  <c:v>720</c:v>
                </c:pt>
              </c:numCache>
            </c:numRef>
          </c:xVal>
          <c:yVal>
            <c:numRef>
              <c:f>'sin cos 2(2theta） '!$C$2:$C$50</c:f>
              <c:numCache>
                <c:formatCode>General</c:formatCode>
                <c:ptCount val="49"/>
                <c:pt idx="0">
                  <c:v>0</c:v>
                </c:pt>
                <c:pt idx="1">
                  <c:v>0.25881904510252074</c:v>
                </c:pt>
                <c:pt idx="2">
                  <c:v>0.49999999999999994</c:v>
                </c:pt>
                <c:pt idx="3">
                  <c:v>0.70710678118654746</c:v>
                </c:pt>
                <c:pt idx="4">
                  <c:v>0.8660254037844386</c:v>
                </c:pt>
                <c:pt idx="5">
                  <c:v>0.96592582628906831</c:v>
                </c:pt>
                <c:pt idx="6">
                  <c:v>1</c:v>
                </c:pt>
                <c:pt idx="7">
                  <c:v>0.96592582628906831</c:v>
                </c:pt>
                <c:pt idx="8">
                  <c:v>0.86602540378443871</c:v>
                </c:pt>
                <c:pt idx="9">
                  <c:v>0.70710678118654757</c:v>
                </c:pt>
                <c:pt idx="10">
                  <c:v>0.49999999999999994</c:v>
                </c:pt>
                <c:pt idx="11">
                  <c:v>0.25881904510252102</c:v>
                </c:pt>
                <c:pt idx="12">
                  <c:v>1.22514845490862E-16</c:v>
                </c:pt>
                <c:pt idx="13">
                  <c:v>-0.25881904510252079</c:v>
                </c:pt>
                <c:pt idx="14">
                  <c:v>-0.50000000000000011</c:v>
                </c:pt>
                <c:pt idx="15">
                  <c:v>-0.70710678118654746</c:v>
                </c:pt>
                <c:pt idx="16">
                  <c:v>-0.86602540378443837</c:v>
                </c:pt>
                <c:pt idx="17">
                  <c:v>-0.96592582628906831</c:v>
                </c:pt>
                <c:pt idx="18">
                  <c:v>-1</c:v>
                </c:pt>
                <c:pt idx="19">
                  <c:v>-0.96592582628906842</c:v>
                </c:pt>
                <c:pt idx="20">
                  <c:v>-0.8660254037844386</c:v>
                </c:pt>
                <c:pt idx="21">
                  <c:v>-0.70710678118654768</c:v>
                </c:pt>
                <c:pt idx="22">
                  <c:v>-0.50000000000000044</c:v>
                </c:pt>
                <c:pt idx="23">
                  <c:v>-0.25881904510252068</c:v>
                </c:pt>
                <c:pt idx="24">
                  <c:v>-2.45029690981724E-16</c:v>
                </c:pt>
                <c:pt idx="25">
                  <c:v>0.25881904510252024</c:v>
                </c:pt>
                <c:pt idx="26">
                  <c:v>0.5</c:v>
                </c:pt>
                <c:pt idx="27">
                  <c:v>0.70710678118654735</c:v>
                </c:pt>
                <c:pt idx="28">
                  <c:v>0.86602540378443882</c:v>
                </c:pt>
                <c:pt idx="29">
                  <c:v>0.96592582628906831</c:v>
                </c:pt>
                <c:pt idx="30">
                  <c:v>1</c:v>
                </c:pt>
                <c:pt idx="31">
                  <c:v>0.96592582628906842</c:v>
                </c:pt>
                <c:pt idx="32">
                  <c:v>0.86602540378443915</c:v>
                </c:pt>
                <c:pt idx="33">
                  <c:v>0.70710678118654713</c:v>
                </c:pt>
                <c:pt idx="34">
                  <c:v>0.49999999999999978</c:v>
                </c:pt>
                <c:pt idx="35">
                  <c:v>0.25881904510252079</c:v>
                </c:pt>
                <c:pt idx="36">
                  <c:v>3.67544536472586E-16</c:v>
                </c:pt>
                <c:pt idx="37">
                  <c:v>-0.25881904510252013</c:v>
                </c:pt>
                <c:pt idx="38">
                  <c:v>-0.49999999999999917</c:v>
                </c:pt>
                <c:pt idx="39">
                  <c:v>-0.70710678118654791</c:v>
                </c:pt>
                <c:pt idx="40">
                  <c:v>-0.86602540378443871</c:v>
                </c:pt>
                <c:pt idx="41">
                  <c:v>-0.9659258262890682</c:v>
                </c:pt>
                <c:pt idx="42">
                  <c:v>-1</c:v>
                </c:pt>
                <c:pt idx="43">
                  <c:v>-0.96592582628906842</c:v>
                </c:pt>
                <c:pt idx="44">
                  <c:v>-0.86602540378443915</c:v>
                </c:pt>
                <c:pt idx="45">
                  <c:v>-0.70710678118654724</c:v>
                </c:pt>
                <c:pt idx="46">
                  <c:v>-0.49999999999999989</c:v>
                </c:pt>
                <c:pt idx="47">
                  <c:v>-0.25881904510252096</c:v>
                </c:pt>
                <c:pt idx="48">
                  <c:v>-4.90059381963448E-16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43-4D12-9FFD-43AF2612BEC5}"/>
            </c:ext>
          </c:extLst>
        </c:ser>
        <c:ser>
          <c:idx val="1"/>
          <c:order val="1"/>
          <c:tx>
            <c:strRef>
              <c:f>'sin cos 2(2theta） '!$E$1</c:f>
              <c:strCache>
                <c:ptCount val="1"/>
                <c:pt idx="0">
                  <c:v>cos x 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accent6"/>
                </a:solidFill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'sin cos 2(2theta） '!$A$2:$A$50</c:f>
              <c:numCache>
                <c:formatCode>General</c:formatCode>
                <c:ptCount val="49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  <c:pt idx="25">
                  <c:v>375</c:v>
                </c:pt>
                <c:pt idx="26">
                  <c:v>390</c:v>
                </c:pt>
                <c:pt idx="27">
                  <c:v>405</c:v>
                </c:pt>
                <c:pt idx="28">
                  <c:v>420</c:v>
                </c:pt>
                <c:pt idx="29">
                  <c:v>435</c:v>
                </c:pt>
                <c:pt idx="30">
                  <c:v>450</c:v>
                </c:pt>
                <c:pt idx="31">
                  <c:v>465</c:v>
                </c:pt>
                <c:pt idx="32">
                  <c:v>480</c:v>
                </c:pt>
                <c:pt idx="33">
                  <c:v>495</c:v>
                </c:pt>
                <c:pt idx="34">
                  <c:v>510</c:v>
                </c:pt>
                <c:pt idx="35">
                  <c:v>525</c:v>
                </c:pt>
                <c:pt idx="36">
                  <c:v>540</c:v>
                </c:pt>
                <c:pt idx="37">
                  <c:v>555</c:v>
                </c:pt>
                <c:pt idx="38">
                  <c:v>570</c:v>
                </c:pt>
                <c:pt idx="39">
                  <c:v>585</c:v>
                </c:pt>
                <c:pt idx="40">
                  <c:v>600</c:v>
                </c:pt>
                <c:pt idx="41">
                  <c:v>615</c:v>
                </c:pt>
                <c:pt idx="42">
                  <c:v>630</c:v>
                </c:pt>
                <c:pt idx="43">
                  <c:v>645</c:v>
                </c:pt>
                <c:pt idx="44">
                  <c:v>660</c:v>
                </c:pt>
                <c:pt idx="45">
                  <c:v>675</c:v>
                </c:pt>
                <c:pt idx="46">
                  <c:v>690</c:v>
                </c:pt>
                <c:pt idx="47">
                  <c:v>705</c:v>
                </c:pt>
                <c:pt idx="48">
                  <c:v>720</c:v>
                </c:pt>
              </c:numCache>
            </c:numRef>
          </c:xVal>
          <c:yVal>
            <c:numRef>
              <c:f>'sin cos 2(2theta） '!$E$2:$E$50</c:f>
              <c:numCache>
                <c:formatCode>General</c:formatCode>
                <c:ptCount val="49"/>
                <c:pt idx="0">
                  <c:v>1</c:v>
                </c:pt>
                <c:pt idx="1">
                  <c:v>0.96592582628906831</c:v>
                </c:pt>
                <c:pt idx="2">
                  <c:v>0.86602540378443871</c:v>
                </c:pt>
                <c:pt idx="3">
                  <c:v>0.70710678118654757</c:v>
                </c:pt>
                <c:pt idx="4">
                  <c:v>0.50000000000000011</c:v>
                </c:pt>
                <c:pt idx="5">
                  <c:v>0.25881904510252074</c:v>
                </c:pt>
                <c:pt idx="6">
                  <c:v>6.1257422745431001E-17</c:v>
                </c:pt>
                <c:pt idx="7">
                  <c:v>-0.25881904510252085</c:v>
                </c:pt>
                <c:pt idx="8">
                  <c:v>-0.49999999999999978</c:v>
                </c:pt>
                <c:pt idx="9">
                  <c:v>-0.70710678118654746</c:v>
                </c:pt>
                <c:pt idx="10">
                  <c:v>-0.86602540378443871</c:v>
                </c:pt>
                <c:pt idx="11">
                  <c:v>-0.9659258262890682</c:v>
                </c:pt>
                <c:pt idx="12">
                  <c:v>-1</c:v>
                </c:pt>
                <c:pt idx="13">
                  <c:v>-0.96592582628906831</c:v>
                </c:pt>
                <c:pt idx="14">
                  <c:v>-0.8660254037844386</c:v>
                </c:pt>
                <c:pt idx="15">
                  <c:v>-0.70710678118654768</c:v>
                </c:pt>
                <c:pt idx="16">
                  <c:v>-0.50000000000000044</c:v>
                </c:pt>
                <c:pt idx="17">
                  <c:v>-0.25881904510252063</c:v>
                </c:pt>
                <c:pt idx="18">
                  <c:v>-1.83772268236293E-16</c:v>
                </c:pt>
                <c:pt idx="19">
                  <c:v>0.2588190451025203</c:v>
                </c:pt>
                <c:pt idx="20">
                  <c:v>0.50000000000000011</c:v>
                </c:pt>
                <c:pt idx="21">
                  <c:v>0.70710678118654735</c:v>
                </c:pt>
                <c:pt idx="22">
                  <c:v>0.86602540378443837</c:v>
                </c:pt>
                <c:pt idx="23">
                  <c:v>0.96592582628906831</c:v>
                </c:pt>
                <c:pt idx="24">
                  <c:v>1</c:v>
                </c:pt>
                <c:pt idx="25">
                  <c:v>0.96592582628906842</c:v>
                </c:pt>
                <c:pt idx="26">
                  <c:v>0.8660254037844386</c:v>
                </c:pt>
                <c:pt idx="27">
                  <c:v>0.70710678118654768</c:v>
                </c:pt>
                <c:pt idx="28">
                  <c:v>0.49999999999999972</c:v>
                </c:pt>
                <c:pt idx="29">
                  <c:v>0.25881904510252074</c:v>
                </c:pt>
                <c:pt idx="30">
                  <c:v>3.06287113727155E-16</c:v>
                </c:pt>
                <c:pt idx="31">
                  <c:v>-0.25881904510252018</c:v>
                </c:pt>
                <c:pt idx="32">
                  <c:v>-0.49999999999999922</c:v>
                </c:pt>
                <c:pt idx="33">
                  <c:v>-0.70710678118654791</c:v>
                </c:pt>
                <c:pt idx="34">
                  <c:v>-0.86602540378443882</c:v>
                </c:pt>
                <c:pt idx="35">
                  <c:v>-0.96592582628906831</c:v>
                </c:pt>
                <c:pt idx="36">
                  <c:v>-1</c:v>
                </c:pt>
                <c:pt idx="37">
                  <c:v>-0.96592582628906842</c:v>
                </c:pt>
                <c:pt idx="38">
                  <c:v>-0.86602540378443915</c:v>
                </c:pt>
                <c:pt idx="39">
                  <c:v>-0.70710678118654713</c:v>
                </c:pt>
                <c:pt idx="40">
                  <c:v>-0.49999999999999983</c:v>
                </c:pt>
                <c:pt idx="41">
                  <c:v>-0.25881904510252091</c:v>
                </c:pt>
                <c:pt idx="42">
                  <c:v>-4.28801959218017E-16</c:v>
                </c:pt>
                <c:pt idx="43">
                  <c:v>0.25881904510252007</c:v>
                </c:pt>
                <c:pt idx="44">
                  <c:v>0.49999999999999911</c:v>
                </c:pt>
                <c:pt idx="45">
                  <c:v>0.70710678118654779</c:v>
                </c:pt>
                <c:pt idx="46">
                  <c:v>0.86602540378443871</c:v>
                </c:pt>
                <c:pt idx="47">
                  <c:v>0.9659258262890682</c:v>
                </c:pt>
                <c:pt idx="4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B43-4D12-9FFD-43AF2612BEC5}"/>
            </c:ext>
          </c:extLst>
        </c:ser>
        <c:ser>
          <c:idx val="2"/>
          <c:order val="2"/>
          <c:tx>
            <c:strRef>
              <c:f>'sin cos 2(2theta） '!$D$1</c:f>
              <c:strCache>
                <c:ptCount val="1"/>
                <c:pt idx="0">
                  <c:v>y=2*sin(𝜃)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'sin cos 2(2theta） '!$A$2:$A$50</c:f>
              <c:numCache>
                <c:formatCode>General</c:formatCode>
                <c:ptCount val="49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  <c:pt idx="25">
                  <c:v>375</c:v>
                </c:pt>
                <c:pt idx="26">
                  <c:v>390</c:v>
                </c:pt>
                <c:pt idx="27">
                  <c:v>405</c:v>
                </c:pt>
                <c:pt idx="28">
                  <c:v>420</c:v>
                </c:pt>
                <c:pt idx="29">
                  <c:v>435</c:v>
                </c:pt>
                <c:pt idx="30">
                  <c:v>450</c:v>
                </c:pt>
                <c:pt idx="31">
                  <c:v>465</c:v>
                </c:pt>
                <c:pt idx="32">
                  <c:v>480</c:v>
                </c:pt>
                <c:pt idx="33">
                  <c:v>495</c:v>
                </c:pt>
                <c:pt idx="34">
                  <c:v>510</c:v>
                </c:pt>
                <c:pt idx="35">
                  <c:v>525</c:v>
                </c:pt>
                <c:pt idx="36">
                  <c:v>540</c:v>
                </c:pt>
                <c:pt idx="37">
                  <c:v>555</c:v>
                </c:pt>
                <c:pt idx="38">
                  <c:v>570</c:v>
                </c:pt>
                <c:pt idx="39">
                  <c:v>585</c:v>
                </c:pt>
                <c:pt idx="40">
                  <c:v>600</c:v>
                </c:pt>
                <c:pt idx="41">
                  <c:v>615</c:v>
                </c:pt>
                <c:pt idx="42">
                  <c:v>630</c:v>
                </c:pt>
                <c:pt idx="43">
                  <c:v>645</c:v>
                </c:pt>
                <c:pt idx="44">
                  <c:v>660</c:v>
                </c:pt>
                <c:pt idx="45">
                  <c:v>675</c:v>
                </c:pt>
                <c:pt idx="46">
                  <c:v>690</c:v>
                </c:pt>
                <c:pt idx="47">
                  <c:v>705</c:v>
                </c:pt>
                <c:pt idx="48">
                  <c:v>720</c:v>
                </c:pt>
              </c:numCache>
            </c:numRef>
          </c:xVal>
          <c:yVal>
            <c:numRef>
              <c:f>'sin cos 2(2theta） '!$D$2:$D$50</c:f>
              <c:numCache>
                <c:formatCode>General</c:formatCode>
                <c:ptCount val="49"/>
                <c:pt idx="0">
                  <c:v>0</c:v>
                </c:pt>
                <c:pt idx="1">
                  <c:v>0.51763809020504148</c:v>
                </c:pt>
                <c:pt idx="2">
                  <c:v>0.99999999999999989</c:v>
                </c:pt>
                <c:pt idx="3">
                  <c:v>1.4142135623730949</c:v>
                </c:pt>
                <c:pt idx="4">
                  <c:v>1.7320508075688772</c:v>
                </c:pt>
                <c:pt idx="5">
                  <c:v>1.9318516525781366</c:v>
                </c:pt>
                <c:pt idx="6">
                  <c:v>2</c:v>
                </c:pt>
                <c:pt idx="7">
                  <c:v>1.9318516525781366</c:v>
                </c:pt>
                <c:pt idx="8">
                  <c:v>1.7320508075688774</c:v>
                </c:pt>
                <c:pt idx="9">
                  <c:v>1.4142135623730951</c:v>
                </c:pt>
                <c:pt idx="10">
                  <c:v>0.99999999999999989</c:v>
                </c:pt>
                <c:pt idx="11">
                  <c:v>0.51763809020504203</c:v>
                </c:pt>
                <c:pt idx="12">
                  <c:v>2.45029690981724E-16</c:v>
                </c:pt>
                <c:pt idx="13">
                  <c:v>-0.51763809020504159</c:v>
                </c:pt>
                <c:pt idx="14">
                  <c:v>-1.0000000000000002</c:v>
                </c:pt>
                <c:pt idx="15">
                  <c:v>-1.4142135623730949</c:v>
                </c:pt>
                <c:pt idx="16">
                  <c:v>-1.7320508075688767</c:v>
                </c:pt>
                <c:pt idx="17">
                  <c:v>-1.9318516525781366</c:v>
                </c:pt>
                <c:pt idx="18">
                  <c:v>-2</c:v>
                </c:pt>
                <c:pt idx="19">
                  <c:v>-1.9318516525781368</c:v>
                </c:pt>
                <c:pt idx="20">
                  <c:v>-1.7320508075688772</c:v>
                </c:pt>
                <c:pt idx="21">
                  <c:v>-1.4142135623730954</c:v>
                </c:pt>
                <c:pt idx="22">
                  <c:v>-1.0000000000000009</c:v>
                </c:pt>
                <c:pt idx="23">
                  <c:v>-0.51763809020504137</c:v>
                </c:pt>
                <c:pt idx="24">
                  <c:v>-4.90059381963448E-16</c:v>
                </c:pt>
                <c:pt idx="25">
                  <c:v>0.51763809020504048</c:v>
                </c:pt>
                <c:pt idx="26">
                  <c:v>1</c:v>
                </c:pt>
                <c:pt idx="27">
                  <c:v>1.4142135623730947</c:v>
                </c:pt>
                <c:pt idx="28">
                  <c:v>1.7320508075688776</c:v>
                </c:pt>
                <c:pt idx="29">
                  <c:v>1.9318516525781366</c:v>
                </c:pt>
                <c:pt idx="30">
                  <c:v>2</c:v>
                </c:pt>
                <c:pt idx="31">
                  <c:v>1.9318516525781368</c:v>
                </c:pt>
                <c:pt idx="32">
                  <c:v>1.7320508075688783</c:v>
                </c:pt>
                <c:pt idx="33">
                  <c:v>1.4142135623730943</c:v>
                </c:pt>
                <c:pt idx="34">
                  <c:v>0.99999999999999956</c:v>
                </c:pt>
                <c:pt idx="35">
                  <c:v>0.51763809020504159</c:v>
                </c:pt>
                <c:pt idx="36">
                  <c:v>7.3508907294517201E-16</c:v>
                </c:pt>
                <c:pt idx="37">
                  <c:v>-0.51763809020504026</c:v>
                </c:pt>
                <c:pt idx="38">
                  <c:v>-0.99999999999999833</c:v>
                </c:pt>
                <c:pt idx="39">
                  <c:v>-1.4142135623730958</c:v>
                </c:pt>
                <c:pt idx="40">
                  <c:v>-1.7320508075688774</c:v>
                </c:pt>
                <c:pt idx="41">
                  <c:v>-1.9318516525781364</c:v>
                </c:pt>
                <c:pt idx="42">
                  <c:v>-2</c:v>
                </c:pt>
                <c:pt idx="43">
                  <c:v>-1.9318516525781368</c:v>
                </c:pt>
                <c:pt idx="44">
                  <c:v>-1.7320508075688783</c:v>
                </c:pt>
                <c:pt idx="45">
                  <c:v>-1.4142135623730945</c:v>
                </c:pt>
                <c:pt idx="46">
                  <c:v>-0.99999999999999978</c:v>
                </c:pt>
                <c:pt idx="47">
                  <c:v>-0.51763809020504192</c:v>
                </c:pt>
                <c:pt idx="48">
                  <c:v>-9.8011876392689601E-16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B43-4D12-9FFD-43AF2612BEC5}"/>
            </c:ext>
          </c:extLst>
        </c:ser>
        <c:ser>
          <c:idx val="4"/>
          <c:order val="4"/>
          <c:tx>
            <c:strRef>
              <c:f>'sin cos 2(2theta） '!$G$1</c:f>
              <c:strCache>
                <c:ptCount val="1"/>
                <c:pt idx="0">
                  <c:v>y=sin(2*𝜃)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accent2"/>
                </a:solidFill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'sin cos 2(2theta） '!$A$2:$A$50</c:f>
              <c:numCache>
                <c:formatCode>General</c:formatCode>
                <c:ptCount val="49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  <c:pt idx="25">
                  <c:v>375</c:v>
                </c:pt>
                <c:pt idx="26">
                  <c:v>390</c:v>
                </c:pt>
                <c:pt idx="27">
                  <c:v>405</c:v>
                </c:pt>
                <c:pt idx="28">
                  <c:v>420</c:v>
                </c:pt>
                <c:pt idx="29">
                  <c:v>435</c:v>
                </c:pt>
                <c:pt idx="30">
                  <c:v>450</c:v>
                </c:pt>
                <c:pt idx="31">
                  <c:v>465</c:v>
                </c:pt>
                <c:pt idx="32">
                  <c:v>480</c:v>
                </c:pt>
                <c:pt idx="33">
                  <c:v>495</c:v>
                </c:pt>
                <c:pt idx="34">
                  <c:v>510</c:v>
                </c:pt>
                <c:pt idx="35">
                  <c:v>525</c:v>
                </c:pt>
                <c:pt idx="36">
                  <c:v>540</c:v>
                </c:pt>
                <c:pt idx="37">
                  <c:v>555</c:v>
                </c:pt>
                <c:pt idx="38">
                  <c:v>570</c:v>
                </c:pt>
                <c:pt idx="39">
                  <c:v>585</c:v>
                </c:pt>
                <c:pt idx="40">
                  <c:v>600</c:v>
                </c:pt>
                <c:pt idx="41">
                  <c:v>615</c:v>
                </c:pt>
                <c:pt idx="42">
                  <c:v>630</c:v>
                </c:pt>
                <c:pt idx="43">
                  <c:v>645</c:v>
                </c:pt>
                <c:pt idx="44">
                  <c:v>660</c:v>
                </c:pt>
                <c:pt idx="45">
                  <c:v>675</c:v>
                </c:pt>
                <c:pt idx="46">
                  <c:v>690</c:v>
                </c:pt>
                <c:pt idx="47">
                  <c:v>705</c:v>
                </c:pt>
                <c:pt idx="48">
                  <c:v>720</c:v>
                </c:pt>
              </c:numCache>
            </c:numRef>
          </c:xVal>
          <c:yVal>
            <c:numRef>
              <c:f>'sin cos 2(2theta） '!$G$2:$G$50</c:f>
              <c:numCache>
                <c:formatCode>General</c:formatCode>
                <c:ptCount val="49"/>
                <c:pt idx="0">
                  <c:v>0</c:v>
                </c:pt>
                <c:pt idx="1">
                  <c:v>0.49999999999999994</c:v>
                </c:pt>
                <c:pt idx="2">
                  <c:v>0.8660254037844386</c:v>
                </c:pt>
                <c:pt idx="3">
                  <c:v>1</c:v>
                </c:pt>
                <c:pt idx="4">
                  <c:v>0.86602540378443871</c:v>
                </c:pt>
                <c:pt idx="5">
                  <c:v>0.49999999999999994</c:v>
                </c:pt>
                <c:pt idx="6">
                  <c:v>1.22514845490862E-16</c:v>
                </c:pt>
                <c:pt idx="7">
                  <c:v>-0.50000000000000011</c:v>
                </c:pt>
                <c:pt idx="8">
                  <c:v>-0.86602540378443837</c:v>
                </c:pt>
                <c:pt idx="9">
                  <c:v>-1</c:v>
                </c:pt>
                <c:pt idx="10">
                  <c:v>-0.8660254037844386</c:v>
                </c:pt>
                <c:pt idx="11">
                  <c:v>-0.50000000000000044</c:v>
                </c:pt>
                <c:pt idx="12">
                  <c:v>-2.45029690981724E-16</c:v>
                </c:pt>
                <c:pt idx="13">
                  <c:v>0.5</c:v>
                </c:pt>
                <c:pt idx="14">
                  <c:v>0.86602540378443882</c:v>
                </c:pt>
                <c:pt idx="15">
                  <c:v>1</c:v>
                </c:pt>
                <c:pt idx="16">
                  <c:v>0.86602540378443915</c:v>
                </c:pt>
                <c:pt idx="17">
                  <c:v>0.49999999999999978</c:v>
                </c:pt>
                <c:pt idx="18">
                  <c:v>3.67544536472586E-16</c:v>
                </c:pt>
                <c:pt idx="19">
                  <c:v>-0.49999999999999917</c:v>
                </c:pt>
                <c:pt idx="20">
                  <c:v>-0.86602540378443871</c:v>
                </c:pt>
                <c:pt idx="21">
                  <c:v>-1</c:v>
                </c:pt>
                <c:pt idx="22">
                  <c:v>-0.86602540378443915</c:v>
                </c:pt>
                <c:pt idx="23">
                  <c:v>-0.49999999999999989</c:v>
                </c:pt>
                <c:pt idx="24">
                  <c:v>-4.90059381963448E-16</c:v>
                </c:pt>
                <c:pt idx="25">
                  <c:v>0.49999999999999906</c:v>
                </c:pt>
                <c:pt idx="26">
                  <c:v>0.86602540378443871</c:v>
                </c:pt>
                <c:pt idx="27">
                  <c:v>1</c:v>
                </c:pt>
                <c:pt idx="28">
                  <c:v>0.86602540378443837</c:v>
                </c:pt>
                <c:pt idx="29">
                  <c:v>0.5</c:v>
                </c:pt>
                <c:pt idx="30">
                  <c:v>6.1257422745431001E-16</c:v>
                </c:pt>
                <c:pt idx="31">
                  <c:v>-0.49999999999999895</c:v>
                </c:pt>
                <c:pt idx="32">
                  <c:v>-0.86602540378443771</c:v>
                </c:pt>
                <c:pt idx="33">
                  <c:v>-1</c:v>
                </c:pt>
                <c:pt idx="34">
                  <c:v>-0.86602540378443837</c:v>
                </c:pt>
                <c:pt idx="35">
                  <c:v>-0.50000000000000011</c:v>
                </c:pt>
                <c:pt idx="36">
                  <c:v>-7.3508907294517201E-16</c:v>
                </c:pt>
                <c:pt idx="37">
                  <c:v>0.49999999999999883</c:v>
                </c:pt>
                <c:pt idx="38">
                  <c:v>0.86602540378443771</c:v>
                </c:pt>
                <c:pt idx="39">
                  <c:v>1</c:v>
                </c:pt>
                <c:pt idx="40">
                  <c:v>0.86602540378443849</c:v>
                </c:pt>
                <c:pt idx="41">
                  <c:v>0.50000000000000022</c:v>
                </c:pt>
                <c:pt idx="42">
                  <c:v>8.5760391843603401E-16</c:v>
                </c:pt>
                <c:pt idx="43">
                  <c:v>-0.49999999999999872</c:v>
                </c:pt>
                <c:pt idx="44">
                  <c:v>-0.8660254037844376</c:v>
                </c:pt>
                <c:pt idx="45">
                  <c:v>-1</c:v>
                </c:pt>
                <c:pt idx="46">
                  <c:v>-0.86602540378443849</c:v>
                </c:pt>
                <c:pt idx="47">
                  <c:v>-0.50000000000000033</c:v>
                </c:pt>
                <c:pt idx="48">
                  <c:v>-9.8011876392689601E-16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B43-4D12-9FFD-43AF2612B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1200048"/>
        <c:axId val="681200528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'sin cos 2(2theta） '!$F$1</c15:sqref>
                        </c15:formulaRef>
                      </c:ext>
                    </c:extLst>
                    <c:strCache>
                      <c:ptCount val="1"/>
                      <c:pt idx="0">
                        <c:v>y=2*cos(𝜃)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</a:ln>
                  <a:effectLst>
                    <a:glow rad="139700">
                      <a:schemeClr val="accent4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3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4"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'sin cos 2(2theta） '!$A$2:$A$50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0</c:v>
                      </c:pt>
                      <c:pt idx="1">
                        <c:v>15</c:v>
                      </c:pt>
                      <c:pt idx="2">
                        <c:v>30</c:v>
                      </c:pt>
                      <c:pt idx="3">
                        <c:v>45</c:v>
                      </c:pt>
                      <c:pt idx="4">
                        <c:v>60</c:v>
                      </c:pt>
                      <c:pt idx="5">
                        <c:v>75</c:v>
                      </c:pt>
                      <c:pt idx="6">
                        <c:v>90</c:v>
                      </c:pt>
                      <c:pt idx="7">
                        <c:v>105</c:v>
                      </c:pt>
                      <c:pt idx="8">
                        <c:v>120</c:v>
                      </c:pt>
                      <c:pt idx="9">
                        <c:v>135</c:v>
                      </c:pt>
                      <c:pt idx="10">
                        <c:v>150</c:v>
                      </c:pt>
                      <c:pt idx="11">
                        <c:v>165</c:v>
                      </c:pt>
                      <c:pt idx="12">
                        <c:v>180</c:v>
                      </c:pt>
                      <c:pt idx="13">
                        <c:v>195</c:v>
                      </c:pt>
                      <c:pt idx="14">
                        <c:v>210</c:v>
                      </c:pt>
                      <c:pt idx="15">
                        <c:v>225</c:v>
                      </c:pt>
                      <c:pt idx="16">
                        <c:v>240</c:v>
                      </c:pt>
                      <c:pt idx="17">
                        <c:v>255</c:v>
                      </c:pt>
                      <c:pt idx="18">
                        <c:v>270</c:v>
                      </c:pt>
                      <c:pt idx="19">
                        <c:v>285</c:v>
                      </c:pt>
                      <c:pt idx="20">
                        <c:v>300</c:v>
                      </c:pt>
                      <c:pt idx="21">
                        <c:v>315</c:v>
                      </c:pt>
                      <c:pt idx="22">
                        <c:v>330</c:v>
                      </c:pt>
                      <c:pt idx="23">
                        <c:v>345</c:v>
                      </c:pt>
                      <c:pt idx="24">
                        <c:v>360</c:v>
                      </c:pt>
                      <c:pt idx="25">
                        <c:v>375</c:v>
                      </c:pt>
                      <c:pt idx="26">
                        <c:v>390</c:v>
                      </c:pt>
                      <c:pt idx="27">
                        <c:v>405</c:v>
                      </c:pt>
                      <c:pt idx="28">
                        <c:v>420</c:v>
                      </c:pt>
                      <c:pt idx="29">
                        <c:v>435</c:v>
                      </c:pt>
                      <c:pt idx="30">
                        <c:v>450</c:v>
                      </c:pt>
                      <c:pt idx="31">
                        <c:v>465</c:v>
                      </c:pt>
                      <c:pt idx="32">
                        <c:v>480</c:v>
                      </c:pt>
                      <c:pt idx="33">
                        <c:v>495</c:v>
                      </c:pt>
                      <c:pt idx="34">
                        <c:v>510</c:v>
                      </c:pt>
                      <c:pt idx="35">
                        <c:v>525</c:v>
                      </c:pt>
                      <c:pt idx="36">
                        <c:v>540</c:v>
                      </c:pt>
                      <c:pt idx="37">
                        <c:v>555</c:v>
                      </c:pt>
                      <c:pt idx="38">
                        <c:v>570</c:v>
                      </c:pt>
                      <c:pt idx="39">
                        <c:v>585</c:v>
                      </c:pt>
                      <c:pt idx="40">
                        <c:v>600</c:v>
                      </c:pt>
                      <c:pt idx="41">
                        <c:v>615</c:v>
                      </c:pt>
                      <c:pt idx="42">
                        <c:v>630</c:v>
                      </c:pt>
                      <c:pt idx="43">
                        <c:v>645</c:v>
                      </c:pt>
                      <c:pt idx="44">
                        <c:v>660</c:v>
                      </c:pt>
                      <c:pt idx="45">
                        <c:v>675</c:v>
                      </c:pt>
                      <c:pt idx="46">
                        <c:v>690</c:v>
                      </c:pt>
                      <c:pt idx="47">
                        <c:v>705</c:v>
                      </c:pt>
                      <c:pt idx="48">
                        <c:v>720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'sin cos 2(2theta） '!$F$2:$F$50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2</c:v>
                      </c:pt>
                      <c:pt idx="1">
                        <c:v>1.9318516525781366</c:v>
                      </c:pt>
                      <c:pt idx="2">
                        <c:v>1.7320508075688774</c:v>
                      </c:pt>
                      <c:pt idx="3">
                        <c:v>1.4142135623730951</c:v>
                      </c:pt>
                      <c:pt idx="4">
                        <c:v>1.0000000000000002</c:v>
                      </c:pt>
                      <c:pt idx="5">
                        <c:v>0.51763809020504148</c:v>
                      </c:pt>
                      <c:pt idx="6">
                        <c:v>1.22514845490862E-16</c:v>
                      </c:pt>
                      <c:pt idx="7">
                        <c:v>-0.5176380902050417</c:v>
                      </c:pt>
                      <c:pt idx="8">
                        <c:v>-0.99999999999999956</c:v>
                      </c:pt>
                      <c:pt idx="9">
                        <c:v>-1.4142135623730949</c:v>
                      </c:pt>
                      <c:pt idx="10">
                        <c:v>-1.7320508075688774</c:v>
                      </c:pt>
                      <c:pt idx="11">
                        <c:v>-1.9318516525781364</c:v>
                      </c:pt>
                      <c:pt idx="12">
                        <c:v>-2</c:v>
                      </c:pt>
                      <c:pt idx="13">
                        <c:v>-1.9318516525781366</c:v>
                      </c:pt>
                      <c:pt idx="14">
                        <c:v>-1.7320508075688772</c:v>
                      </c:pt>
                      <c:pt idx="15">
                        <c:v>-1.4142135623730954</c:v>
                      </c:pt>
                      <c:pt idx="16">
                        <c:v>-1.0000000000000009</c:v>
                      </c:pt>
                      <c:pt idx="17">
                        <c:v>-0.51763809020504126</c:v>
                      </c:pt>
                      <c:pt idx="18">
                        <c:v>-3.67544536472586E-16</c:v>
                      </c:pt>
                      <c:pt idx="19">
                        <c:v>0.51763809020504059</c:v>
                      </c:pt>
                      <c:pt idx="20">
                        <c:v>1.0000000000000002</c:v>
                      </c:pt>
                      <c:pt idx="21">
                        <c:v>1.4142135623730947</c:v>
                      </c:pt>
                      <c:pt idx="22">
                        <c:v>1.7320508075688767</c:v>
                      </c:pt>
                      <c:pt idx="23">
                        <c:v>1.9318516525781366</c:v>
                      </c:pt>
                      <c:pt idx="24">
                        <c:v>2</c:v>
                      </c:pt>
                      <c:pt idx="25">
                        <c:v>1.9318516525781368</c:v>
                      </c:pt>
                      <c:pt idx="26">
                        <c:v>1.7320508075688772</c:v>
                      </c:pt>
                      <c:pt idx="27">
                        <c:v>1.4142135623730954</c:v>
                      </c:pt>
                      <c:pt idx="28">
                        <c:v>0.99999999999999944</c:v>
                      </c:pt>
                      <c:pt idx="29">
                        <c:v>0.51763809020504148</c:v>
                      </c:pt>
                      <c:pt idx="30">
                        <c:v>6.1257422745431001E-16</c:v>
                      </c:pt>
                      <c:pt idx="31">
                        <c:v>-0.51763809020504037</c:v>
                      </c:pt>
                      <c:pt idx="32">
                        <c:v>-0.99999999999999845</c:v>
                      </c:pt>
                      <c:pt idx="33">
                        <c:v>-1.4142135623730958</c:v>
                      </c:pt>
                      <c:pt idx="34">
                        <c:v>-1.7320508075688776</c:v>
                      </c:pt>
                      <c:pt idx="35">
                        <c:v>-1.9318516525781366</c:v>
                      </c:pt>
                      <c:pt idx="36">
                        <c:v>-2</c:v>
                      </c:pt>
                      <c:pt idx="37">
                        <c:v>-1.9318516525781368</c:v>
                      </c:pt>
                      <c:pt idx="38">
                        <c:v>-1.7320508075688783</c:v>
                      </c:pt>
                      <c:pt idx="39">
                        <c:v>-1.4142135623730943</c:v>
                      </c:pt>
                      <c:pt idx="40">
                        <c:v>-0.99999999999999967</c:v>
                      </c:pt>
                      <c:pt idx="41">
                        <c:v>-0.51763809020504181</c:v>
                      </c:pt>
                      <c:pt idx="42">
                        <c:v>-8.5760391843603401E-16</c:v>
                      </c:pt>
                      <c:pt idx="43">
                        <c:v>0.51763809020504015</c:v>
                      </c:pt>
                      <c:pt idx="44">
                        <c:v>0.99999999999999822</c:v>
                      </c:pt>
                      <c:pt idx="45">
                        <c:v>1.4142135623730956</c:v>
                      </c:pt>
                      <c:pt idx="46">
                        <c:v>1.7320508075688774</c:v>
                      </c:pt>
                      <c:pt idx="47">
                        <c:v>1.9318516525781364</c:v>
                      </c:pt>
                      <c:pt idx="48">
                        <c:v>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3B43-4D12-9FFD-43AF2612BEC5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 cos 2(2theta） '!$H$1</c15:sqref>
                        </c15:formulaRef>
                      </c:ext>
                    </c:extLst>
                    <c:strCache>
                      <c:ptCount val="1"/>
                      <c:pt idx="0">
                        <c:v>y=cos(2*𝜃)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</a:ln>
                  <a:effectLst>
                    <a:glow rad="139700">
                      <a:schemeClr val="accent6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3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6"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 cos 2(2theta） '!$A$2:$A$50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0</c:v>
                      </c:pt>
                      <c:pt idx="1">
                        <c:v>15</c:v>
                      </c:pt>
                      <c:pt idx="2">
                        <c:v>30</c:v>
                      </c:pt>
                      <c:pt idx="3">
                        <c:v>45</c:v>
                      </c:pt>
                      <c:pt idx="4">
                        <c:v>60</c:v>
                      </c:pt>
                      <c:pt idx="5">
                        <c:v>75</c:v>
                      </c:pt>
                      <c:pt idx="6">
                        <c:v>90</c:v>
                      </c:pt>
                      <c:pt idx="7">
                        <c:v>105</c:v>
                      </c:pt>
                      <c:pt idx="8">
                        <c:v>120</c:v>
                      </c:pt>
                      <c:pt idx="9">
                        <c:v>135</c:v>
                      </c:pt>
                      <c:pt idx="10">
                        <c:v>150</c:v>
                      </c:pt>
                      <c:pt idx="11">
                        <c:v>165</c:v>
                      </c:pt>
                      <c:pt idx="12">
                        <c:v>180</c:v>
                      </c:pt>
                      <c:pt idx="13">
                        <c:v>195</c:v>
                      </c:pt>
                      <c:pt idx="14">
                        <c:v>210</c:v>
                      </c:pt>
                      <c:pt idx="15">
                        <c:v>225</c:v>
                      </c:pt>
                      <c:pt idx="16">
                        <c:v>240</c:v>
                      </c:pt>
                      <c:pt idx="17">
                        <c:v>255</c:v>
                      </c:pt>
                      <c:pt idx="18">
                        <c:v>270</c:v>
                      </c:pt>
                      <c:pt idx="19">
                        <c:v>285</c:v>
                      </c:pt>
                      <c:pt idx="20">
                        <c:v>300</c:v>
                      </c:pt>
                      <c:pt idx="21">
                        <c:v>315</c:v>
                      </c:pt>
                      <c:pt idx="22">
                        <c:v>330</c:v>
                      </c:pt>
                      <c:pt idx="23">
                        <c:v>345</c:v>
                      </c:pt>
                      <c:pt idx="24">
                        <c:v>360</c:v>
                      </c:pt>
                      <c:pt idx="25">
                        <c:v>375</c:v>
                      </c:pt>
                      <c:pt idx="26">
                        <c:v>390</c:v>
                      </c:pt>
                      <c:pt idx="27">
                        <c:v>405</c:v>
                      </c:pt>
                      <c:pt idx="28">
                        <c:v>420</c:v>
                      </c:pt>
                      <c:pt idx="29">
                        <c:v>435</c:v>
                      </c:pt>
                      <c:pt idx="30">
                        <c:v>450</c:v>
                      </c:pt>
                      <c:pt idx="31">
                        <c:v>465</c:v>
                      </c:pt>
                      <c:pt idx="32">
                        <c:v>480</c:v>
                      </c:pt>
                      <c:pt idx="33">
                        <c:v>495</c:v>
                      </c:pt>
                      <c:pt idx="34">
                        <c:v>510</c:v>
                      </c:pt>
                      <c:pt idx="35">
                        <c:v>525</c:v>
                      </c:pt>
                      <c:pt idx="36">
                        <c:v>540</c:v>
                      </c:pt>
                      <c:pt idx="37">
                        <c:v>555</c:v>
                      </c:pt>
                      <c:pt idx="38">
                        <c:v>570</c:v>
                      </c:pt>
                      <c:pt idx="39">
                        <c:v>585</c:v>
                      </c:pt>
                      <c:pt idx="40">
                        <c:v>600</c:v>
                      </c:pt>
                      <c:pt idx="41">
                        <c:v>615</c:v>
                      </c:pt>
                      <c:pt idx="42">
                        <c:v>630</c:v>
                      </c:pt>
                      <c:pt idx="43">
                        <c:v>645</c:v>
                      </c:pt>
                      <c:pt idx="44">
                        <c:v>660</c:v>
                      </c:pt>
                      <c:pt idx="45">
                        <c:v>675</c:v>
                      </c:pt>
                      <c:pt idx="46">
                        <c:v>690</c:v>
                      </c:pt>
                      <c:pt idx="47">
                        <c:v>705</c:v>
                      </c:pt>
                      <c:pt idx="48">
                        <c:v>720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 cos 2(2theta） '!$H$2:$H$50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1</c:v>
                      </c:pt>
                      <c:pt idx="1">
                        <c:v>0.86602540378443871</c:v>
                      </c:pt>
                      <c:pt idx="2">
                        <c:v>0.50000000000000011</c:v>
                      </c:pt>
                      <c:pt idx="3">
                        <c:v>6.1257422745431001E-17</c:v>
                      </c:pt>
                      <c:pt idx="4">
                        <c:v>-0.49999999999999978</c:v>
                      </c:pt>
                      <c:pt idx="5">
                        <c:v>-0.86602540378443871</c:v>
                      </c:pt>
                      <c:pt idx="6">
                        <c:v>-1</c:v>
                      </c:pt>
                      <c:pt idx="7">
                        <c:v>-0.8660254037844386</c:v>
                      </c:pt>
                      <c:pt idx="8">
                        <c:v>-0.50000000000000044</c:v>
                      </c:pt>
                      <c:pt idx="9">
                        <c:v>-1.83772268236293E-16</c:v>
                      </c:pt>
                      <c:pt idx="10">
                        <c:v>0.50000000000000011</c:v>
                      </c:pt>
                      <c:pt idx="11">
                        <c:v>0.86602540378443837</c:v>
                      </c:pt>
                      <c:pt idx="12">
                        <c:v>1</c:v>
                      </c:pt>
                      <c:pt idx="13">
                        <c:v>0.8660254037844386</c:v>
                      </c:pt>
                      <c:pt idx="14">
                        <c:v>0.49999999999999972</c:v>
                      </c:pt>
                      <c:pt idx="15">
                        <c:v>3.06287113727155E-16</c:v>
                      </c:pt>
                      <c:pt idx="16">
                        <c:v>-0.49999999999999922</c:v>
                      </c:pt>
                      <c:pt idx="17">
                        <c:v>-0.86602540378443882</c:v>
                      </c:pt>
                      <c:pt idx="18">
                        <c:v>-1</c:v>
                      </c:pt>
                      <c:pt idx="19">
                        <c:v>-0.86602540378443915</c:v>
                      </c:pt>
                      <c:pt idx="20">
                        <c:v>-0.49999999999999983</c:v>
                      </c:pt>
                      <c:pt idx="21">
                        <c:v>-4.28801959218017E-16</c:v>
                      </c:pt>
                      <c:pt idx="22">
                        <c:v>0.49999999999999911</c:v>
                      </c:pt>
                      <c:pt idx="23">
                        <c:v>0.86602540378443871</c:v>
                      </c:pt>
                      <c:pt idx="24">
                        <c:v>1</c:v>
                      </c:pt>
                      <c:pt idx="25">
                        <c:v>0.86602540378443915</c:v>
                      </c:pt>
                      <c:pt idx="26">
                        <c:v>0.49999999999999994</c:v>
                      </c:pt>
                      <c:pt idx="27">
                        <c:v>5.51316804708879E-16</c:v>
                      </c:pt>
                      <c:pt idx="28">
                        <c:v>-0.50000000000000056</c:v>
                      </c:pt>
                      <c:pt idx="29">
                        <c:v>-0.8660254037844386</c:v>
                      </c:pt>
                      <c:pt idx="30">
                        <c:v>-1</c:v>
                      </c:pt>
                      <c:pt idx="31">
                        <c:v>-0.86602540378443926</c:v>
                      </c:pt>
                      <c:pt idx="32">
                        <c:v>-0.50000000000000155</c:v>
                      </c:pt>
                      <c:pt idx="33">
                        <c:v>1.1025251892005095E-15</c:v>
                      </c:pt>
                      <c:pt idx="34">
                        <c:v>0.50000000000000044</c:v>
                      </c:pt>
                      <c:pt idx="35">
                        <c:v>0.8660254037844386</c:v>
                      </c:pt>
                      <c:pt idx="36">
                        <c:v>1</c:v>
                      </c:pt>
                      <c:pt idx="37">
                        <c:v>0.86602540378443937</c:v>
                      </c:pt>
                      <c:pt idx="38">
                        <c:v>0.50000000000000167</c:v>
                      </c:pt>
                      <c:pt idx="39">
                        <c:v>-9.8001034370964746E-16</c:v>
                      </c:pt>
                      <c:pt idx="40">
                        <c:v>-0.50000000000000033</c:v>
                      </c:pt>
                      <c:pt idx="41">
                        <c:v>-0.86602540378443849</c:v>
                      </c:pt>
                      <c:pt idx="42">
                        <c:v>-1</c:v>
                      </c:pt>
                      <c:pt idx="43">
                        <c:v>-0.86602540378443937</c:v>
                      </c:pt>
                      <c:pt idx="44">
                        <c:v>-0.50000000000000178</c:v>
                      </c:pt>
                      <c:pt idx="45">
                        <c:v>8.5749549821878546E-16</c:v>
                      </c:pt>
                      <c:pt idx="46">
                        <c:v>0.50000000000000022</c:v>
                      </c:pt>
                      <c:pt idx="47">
                        <c:v>0.86602540378443849</c:v>
                      </c:pt>
                      <c:pt idx="48">
                        <c:v>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B43-4D12-9FFD-43AF2612BEC5}"/>
                  </c:ext>
                </c:extLst>
              </c15:ser>
            </c15:filteredScatterSeries>
          </c:ext>
        </c:extLst>
      </c:scatterChart>
      <c:valAx>
        <c:axId val="681200048"/>
        <c:scaling>
          <c:orientation val="minMax"/>
          <c:max val="72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200528"/>
        <c:crosses val="autoZero"/>
        <c:crossBetween val="midCat"/>
        <c:majorUnit val="30"/>
      </c:valAx>
      <c:valAx>
        <c:axId val="681200528"/>
        <c:scaling>
          <c:orientation val="minMax"/>
          <c:max val="2.1"/>
          <c:min val="-2.1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200048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815491733358972"/>
          <c:y val="1.608086884786402E-2"/>
          <c:w val="0.23873237504986819"/>
          <c:h val="0.406631303073970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100777</xdr:colOff>
      <xdr:row>0</xdr:row>
      <xdr:rowOff>0</xdr:rowOff>
    </xdr:from>
    <xdr:to>
      <xdr:col>13</xdr:col>
      <xdr:colOff>451238</xdr:colOff>
      <xdr:row>16</xdr:row>
      <xdr:rowOff>39076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18AA10-3DC0-4965-A1DA-ED1C5ACF34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381000</xdr:colOff>
      <xdr:row>3</xdr:row>
      <xdr:rowOff>146539</xdr:rowOff>
    </xdr:from>
    <xdr:to>
      <xdr:col>6</xdr:col>
      <xdr:colOff>73269</xdr:colOff>
      <xdr:row>6</xdr:row>
      <xdr:rowOff>180731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3BAA3FFF-896B-4064-AECC-EF41606FDD07}"/>
            </a:ext>
          </a:extLst>
        </xdr:cNvPr>
        <xdr:cNvCxnSpPr/>
      </xdr:nvCxnSpPr>
      <xdr:spPr>
        <a:xfrm rot="5400000" flipH="1" flipV="1">
          <a:off x="3686664" y="841375"/>
          <a:ext cx="586642" cy="301869"/>
        </a:xfrm>
        <a:prstGeom prst="bentConnector3">
          <a:avLst>
            <a:gd name="adj1" fmla="val 77272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0.06214</cdr:x>
      <cdr:y>0.00519</cdr:y>
    </cdr:from>
    <cdr:to>
      <cdr:x>0.37048</cdr:x>
      <cdr:y>0.23701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3" name="Rectangle 2">
              <a:extLst xmlns:a="http://schemas.openxmlformats.org/drawingml/2006/main">
                <a:ext uri="{FF2B5EF4-FFF2-40B4-BE49-F238E27FC236}">
                  <a16:creationId xmlns:a16="http://schemas.microsoft.com/office/drawing/2014/main" id="{E54F1192-8F41-43B7-B728-921BAE537B03}"/>
                </a:ext>
              </a:extLst>
            </cdr:cNvPr>
            <cdr:cNvSpPr/>
          </cdr:nvSpPr>
          <cdr:spPr>
            <a:xfrm xmlns:a="http://schemas.openxmlformats.org/drawingml/2006/main">
              <a:off x="363262" y="15631"/>
              <a:ext cx="1802423" cy="697524"/>
            </a:xfrm>
            <a:prstGeom xmlns:a="http://schemas.openxmlformats.org/drawingml/2006/main" prst="rect">
              <a:avLst/>
            </a:prstGeom>
          </cdr:spPr>
          <cdr:style>
            <a:lnRef xmlns:a="http://schemas.openxmlformats.org/drawingml/2006/main" idx="2">
              <a:schemeClr val="accent4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4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Overflow="clip"/>
            <a:lstStyle xmlns:a="http://schemas.openxmlformats.org/drawingml/2006/main"/>
            <a:p xmlns:a="http://schemas.openxmlformats.org/drawingml/2006/main">
              <a:r>
                <a:rPr lang="en-IE" sz="1600" b="1" kern="1200">
                  <a:solidFill>
                    <a:schemeClr val="tx1"/>
                  </a:solidFill>
                </a:rPr>
                <a:t>Complimentary</a:t>
              </a:r>
              <a:r>
                <a:rPr lang="en-IE" sz="1600" kern="1200">
                  <a:solidFill>
                    <a:srgbClr val="FF0000"/>
                  </a:solidFill>
                </a:rPr>
                <a:t> </a:t>
              </a:r>
            </a:p>
            <a:p xmlns:a="http://schemas.openxmlformats.org/drawingml/2006/main">
              <a:r>
                <a:rPr lang="en-IE" sz="1600" kern="1200">
                  <a:solidFill>
                    <a:srgbClr val="00FF00"/>
                  </a:solidFill>
                </a:rPr>
                <a:t>sine</a:t>
              </a:r>
              <a:r>
                <a:rPr lang="en-IE" sz="1600" kern="1200" baseline="0">
                  <a:solidFill>
                    <a:srgbClr val="FF0000"/>
                  </a:solidFill>
                </a:rPr>
                <a:t>  + cosine </a:t>
              </a:r>
              <a:r>
                <a:rPr lang="en-IE" sz="1600" b="1" kern="1200" baseline="0">
                  <a:solidFill>
                    <a:schemeClr val="tx1"/>
                  </a:solidFill>
                </a:rPr>
                <a:t>90</a:t>
              </a:r>
              <a14:m>
                <m:oMath xmlns:m="http://schemas.openxmlformats.org/officeDocument/2006/math">
                  <m:r>
                    <a:rPr lang="en-IE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°</m:t>
                  </m:r>
                </m:oMath>
              </a14:m>
              <a:r>
                <a:rPr lang="en-IE" sz="1600" kern="1200" baseline="0">
                  <a:solidFill>
                    <a:schemeClr val="tx1"/>
                  </a:solidFill>
                </a:rPr>
                <a:t> </a:t>
              </a:r>
              <a:r>
                <a:rPr lang="en-IE" sz="1600" kern="1200">
                  <a:solidFill>
                    <a:schemeClr val="tx1"/>
                  </a:solidFill>
                </a:rPr>
                <a:t> </a:t>
              </a:r>
              <a:endParaRPr lang="en-IE" sz="1600" kern="1200">
                <a:solidFill>
                  <a:srgbClr val="FF0000"/>
                </a:solidFill>
              </a:endParaRPr>
            </a:p>
          </cdr:txBody>
        </cdr:sp>
      </mc:Choice>
      <mc:Fallback xmlns="">
        <cdr:sp macro="" textlink="">
          <cdr:nvSpPr>
            <cdr:cNvPr id="3" name="Rectangle 2">
              <a:extLst xmlns:a="http://schemas.openxmlformats.org/drawingml/2006/main">
                <a:ext uri="{FF2B5EF4-FFF2-40B4-BE49-F238E27FC236}">
                  <a16:creationId xmlns:a16="http://schemas.microsoft.com/office/drawing/2014/main" id="{E54F1192-8F41-43B7-B728-921BAE537B03}"/>
                </a:ext>
              </a:extLst>
            </cdr:cNvPr>
            <cdr:cNvSpPr/>
          </cdr:nvSpPr>
          <cdr:spPr>
            <a:xfrm xmlns:a="http://schemas.openxmlformats.org/drawingml/2006/main">
              <a:off x="363262" y="15631"/>
              <a:ext cx="1802423" cy="697524"/>
            </a:xfrm>
            <a:prstGeom xmlns:a="http://schemas.openxmlformats.org/drawingml/2006/main" prst="rect">
              <a:avLst/>
            </a:prstGeom>
          </cdr:spPr>
          <cdr:style>
            <a:lnRef xmlns:a="http://schemas.openxmlformats.org/drawingml/2006/main" idx="2">
              <a:schemeClr val="accent4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4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Overflow="clip"/>
            <a:lstStyle xmlns:a="http://schemas.openxmlformats.org/drawingml/2006/main"/>
            <a:p xmlns:a="http://schemas.openxmlformats.org/drawingml/2006/main">
              <a:r>
                <a:rPr lang="en-IE" sz="1600" b="1" kern="1200">
                  <a:solidFill>
                    <a:schemeClr val="tx1"/>
                  </a:solidFill>
                </a:rPr>
                <a:t>Complimentary</a:t>
              </a:r>
              <a:r>
                <a:rPr lang="en-IE" sz="1600" kern="1200">
                  <a:solidFill>
                    <a:srgbClr val="FF0000"/>
                  </a:solidFill>
                </a:rPr>
                <a:t> </a:t>
              </a:r>
            </a:p>
            <a:p xmlns:a="http://schemas.openxmlformats.org/drawingml/2006/main">
              <a:r>
                <a:rPr lang="en-IE" sz="1600" kern="1200">
                  <a:solidFill>
                    <a:srgbClr val="00FF00"/>
                  </a:solidFill>
                </a:rPr>
                <a:t>sine</a:t>
              </a:r>
              <a:r>
                <a:rPr lang="en-IE" sz="1600" kern="1200" baseline="0">
                  <a:solidFill>
                    <a:srgbClr val="FF0000"/>
                  </a:solidFill>
                </a:rPr>
                <a:t>  + cosine </a:t>
              </a:r>
              <a:r>
                <a:rPr lang="en-IE" sz="1600" b="1" kern="1200" baseline="0">
                  <a:solidFill>
                    <a:schemeClr val="tx1"/>
                  </a:solidFill>
                </a:rPr>
                <a:t>90</a:t>
              </a:r>
              <a:r>
                <a:rPr lang="en-IE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°</a:t>
              </a:r>
              <a:r>
                <a:rPr lang="en-IE" sz="1600" kern="1200" baseline="0">
                  <a:solidFill>
                    <a:schemeClr val="tx1"/>
                  </a:solidFill>
                </a:rPr>
                <a:t> </a:t>
              </a:r>
              <a:r>
                <a:rPr lang="en-IE" sz="1600" kern="1200">
                  <a:solidFill>
                    <a:schemeClr val="tx1"/>
                  </a:solidFill>
                </a:rPr>
                <a:t> </a:t>
              </a:r>
              <a:endParaRPr lang="en-IE" sz="1600" kern="1200">
                <a:solidFill>
                  <a:srgbClr val="FF0000"/>
                </a:solidFill>
              </a:endParaRPr>
            </a:p>
          </cdr:txBody>
        </cdr:sp>
      </mc:Fallback>
    </mc:AlternateContent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96895</xdr:colOff>
      <xdr:row>0</xdr:row>
      <xdr:rowOff>59614</xdr:rowOff>
    </xdr:from>
    <xdr:to>
      <xdr:col>21</xdr:col>
      <xdr:colOff>546600</xdr:colOff>
      <xdr:row>25</xdr:row>
      <xdr:rowOff>106663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C98FEA-70BC-495D-9F66-F917F05244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493059</xdr:colOff>
      <xdr:row>13</xdr:row>
      <xdr:rowOff>59765</xdr:rowOff>
    </xdr:from>
    <xdr:to>
      <xdr:col>13</xdr:col>
      <xdr:colOff>530412</xdr:colOff>
      <xdr:row>25</xdr:row>
      <xdr:rowOff>82176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DF4DC6D0-3F99-4DFD-82E4-2F179C659C56}"/>
            </a:ext>
          </a:extLst>
        </xdr:cNvPr>
        <xdr:cNvCxnSpPr/>
      </xdr:nvCxnSpPr>
      <xdr:spPr>
        <a:xfrm>
          <a:off x="6049309" y="2453715"/>
          <a:ext cx="37353" cy="2232211"/>
        </a:xfrm>
        <a:prstGeom prst="straightConnector1">
          <a:avLst/>
        </a:prstGeom>
        <a:ln w="19050" cap="flat" cmpd="sng" algn="ctr">
          <a:solidFill>
            <a:schemeClr val="accent4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455706</xdr:colOff>
      <xdr:row>0</xdr:row>
      <xdr:rowOff>97118</xdr:rowOff>
    </xdr:from>
    <xdr:to>
      <xdr:col>10</xdr:col>
      <xdr:colOff>463177</xdr:colOff>
      <xdr:row>11</xdr:row>
      <xdr:rowOff>37353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31789037-C31E-4339-ADEA-DD9601DCCF84}"/>
            </a:ext>
          </a:extLst>
        </xdr:cNvPr>
        <xdr:cNvCxnSpPr/>
      </xdr:nvCxnSpPr>
      <xdr:spPr>
        <a:xfrm flipV="1">
          <a:off x="4183156" y="97118"/>
          <a:ext cx="7471" cy="1965885"/>
        </a:xfrm>
        <a:prstGeom prst="straightConnector1">
          <a:avLst/>
        </a:prstGeom>
        <a:ln>
          <a:solidFill>
            <a:srgbClr val="FF3300"/>
          </a:solidFill>
          <a:headEnd type="none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209177</xdr:colOff>
      <xdr:row>0</xdr:row>
      <xdr:rowOff>52296</xdr:rowOff>
    </xdr:from>
    <xdr:to>
      <xdr:col>16</xdr:col>
      <xdr:colOff>291352</xdr:colOff>
      <xdr:row>4</xdr:row>
      <xdr:rowOff>22413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D6D5A86D-1656-4AF7-B5C9-9E9B90A31554}"/>
            </a:ext>
          </a:extLst>
        </xdr:cNvPr>
        <xdr:cNvSpPr/>
      </xdr:nvSpPr>
      <xdr:spPr>
        <a:xfrm>
          <a:off x="4546227" y="52296"/>
          <a:ext cx="3130175" cy="706717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E" sz="1800" b="1"/>
            <a:t>Infinity</a:t>
          </a:r>
          <a:r>
            <a:rPr lang="en-IE" sz="1800" b="1" baseline="0"/>
            <a:t> 90 and 270 degress </a:t>
          </a:r>
          <a:endParaRPr lang="en-IE" sz="1800" b="1"/>
        </a:p>
      </xdr:txBody>
    </xdr:sp>
    <xdr:clientData/>
  </xdr:twoCellAnchor>
  <xdr:twoCellAnchor>
    <xdr:from>
      <xdr:col>11</xdr:col>
      <xdr:colOff>74705</xdr:colOff>
      <xdr:row>18</xdr:row>
      <xdr:rowOff>7471</xdr:rowOff>
    </xdr:from>
    <xdr:to>
      <xdr:col>13</xdr:col>
      <xdr:colOff>134470</xdr:colOff>
      <xdr:row>24</xdr:row>
      <xdr:rowOff>139967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29F553AC-7965-490B-B9B8-5B82B7341DFF}"/>
            </a:ext>
          </a:extLst>
        </xdr:cNvPr>
        <xdr:cNvGrpSpPr/>
      </xdr:nvGrpSpPr>
      <xdr:grpSpPr>
        <a:xfrm>
          <a:off x="4422587" y="3369236"/>
          <a:ext cx="1284942" cy="1253084"/>
          <a:chOff x="10979672" y="74706"/>
          <a:chExt cx="2696883" cy="2625762"/>
        </a:xfrm>
      </xdr:grpSpPr>
      <xdr:sp macro="" textlink="">
        <xdr:nvSpPr>
          <xdr:cNvPr id="7" name="Oval 6">
            <a:extLst>
              <a:ext uri="{FF2B5EF4-FFF2-40B4-BE49-F238E27FC236}">
                <a16:creationId xmlns:a16="http://schemas.microsoft.com/office/drawing/2014/main" id="{90AE1A64-EECE-161A-E316-529B6C4EC1EB}"/>
              </a:ext>
            </a:extLst>
          </xdr:cNvPr>
          <xdr:cNvSpPr/>
        </xdr:nvSpPr>
        <xdr:spPr>
          <a:xfrm>
            <a:off x="10979672" y="74706"/>
            <a:ext cx="2696883" cy="2625762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E" sz="1100"/>
          </a:p>
        </xdr:txBody>
      </xdr:sp>
      <xdr:cxnSp macro="">
        <xdr:nvCxnSpPr>
          <xdr:cNvPr id="8" name="Straight Arrow Connector 7">
            <a:extLst>
              <a:ext uri="{FF2B5EF4-FFF2-40B4-BE49-F238E27FC236}">
                <a16:creationId xmlns:a16="http://schemas.microsoft.com/office/drawing/2014/main" id="{EBF3AC84-C952-AD60-F870-33520E084148}"/>
              </a:ext>
            </a:extLst>
          </xdr:cNvPr>
          <xdr:cNvCxnSpPr/>
        </xdr:nvCxnSpPr>
        <xdr:spPr>
          <a:xfrm flipH="1">
            <a:off x="12352767" y="82176"/>
            <a:ext cx="119530" cy="1282999"/>
          </a:xfrm>
          <a:prstGeom prst="straightConnector1">
            <a:avLst/>
          </a:prstGeom>
          <a:ln w="19050" cap="flat" cmpd="sng" algn="ctr">
            <a:solidFill>
              <a:schemeClr val="accent2"/>
            </a:solidFill>
            <a:prstDash val="dash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9" name="Straight Arrow Connector 8">
            <a:extLst>
              <a:ext uri="{FF2B5EF4-FFF2-40B4-BE49-F238E27FC236}">
                <a16:creationId xmlns:a16="http://schemas.microsoft.com/office/drawing/2014/main" id="{44DD05A6-0480-4461-0C51-0CA28C67B927}"/>
              </a:ext>
            </a:extLst>
          </xdr:cNvPr>
          <xdr:cNvCxnSpPr>
            <a:stCxn id="7" idx="0"/>
          </xdr:cNvCxnSpPr>
        </xdr:nvCxnSpPr>
        <xdr:spPr>
          <a:xfrm>
            <a:off x="12326620" y="74706"/>
            <a:ext cx="11206" cy="1179755"/>
          </a:xfrm>
          <a:prstGeom prst="straightConnector1">
            <a:avLst/>
          </a:prstGeom>
          <a:ln w="19050" cap="flat" cmpd="sng" algn="ctr">
            <a:solidFill>
              <a:schemeClr val="accent2"/>
            </a:solidFill>
            <a:prstDash val="dash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10" name="Straight Connector 9">
            <a:extLst>
              <a:ext uri="{FF2B5EF4-FFF2-40B4-BE49-F238E27FC236}">
                <a16:creationId xmlns:a16="http://schemas.microsoft.com/office/drawing/2014/main" id="{65EB2F56-171B-2EF2-064E-345BF8D5E2B9}"/>
              </a:ext>
            </a:extLst>
          </xdr:cNvPr>
          <xdr:cNvCxnSpPr>
            <a:stCxn id="7" idx="0"/>
          </xdr:cNvCxnSpPr>
        </xdr:nvCxnSpPr>
        <xdr:spPr>
          <a:xfrm>
            <a:off x="12326620" y="74706"/>
            <a:ext cx="168089" cy="0"/>
          </a:xfrm>
          <a:prstGeom prst="line">
            <a:avLst/>
          </a:prstGeom>
          <a:ln w="571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79600</xdr:colOff>
      <xdr:row>17</xdr:row>
      <xdr:rowOff>7471</xdr:rowOff>
    </xdr:from>
    <xdr:to>
      <xdr:col>12</xdr:col>
      <xdr:colOff>92738</xdr:colOff>
      <xdr:row>25</xdr:row>
      <xdr:rowOff>155594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3CECA542-FF3E-4CA6-A1EA-84C86913C860}"/>
            </a:ext>
          </a:extLst>
        </xdr:cNvPr>
        <xdr:cNvCxnSpPr/>
      </xdr:nvCxnSpPr>
      <xdr:spPr>
        <a:xfrm flipH="1">
          <a:off x="5026250" y="3138021"/>
          <a:ext cx="13138" cy="1621323"/>
        </a:xfrm>
        <a:prstGeom prst="straightConnector1">
          <a:avLst/>
        </a:prstGeom>
        <a:ln w="19050" cap="flat" cmpd="sng" algn="ctr">
          <a:solidFill>
            <a:schemeClr val="accent2"/>
          </a:solidFill>
          <a:prstDash val="solid"/>
          <a:round/>
          <a:headEnd type="arrow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433294</xdr:colOff>
      <xdr:row>21</xdr:row>
      <xdr:rowOff>105619</xdr:rowOff>
    </xdr:from>
    <xdr:to>
      <xdr:col>13</xdr:col>
      <xdr:colOff>382288</xdr:colOff>
      <xdr:row>21</xdr:row>
      <xdr:rowOff>114378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94D4EFBE-9C05-48C8-900A-0B76B4BAD9DA}"/>
            </a:ext>
          </a:extLst>
        </xdr:cNvPr>
        <xdr:cNvCxnSpPr/>
      </xdr:nvCxnSpPr>
      <xdr:spPr>
        <a:xfrm>
          <a:off x="4160744" y="3972769"/>
          <a:ext cx="1777794" cy="8759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arrow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96895</xdr:colOff>
      <xdr:row>0</xdr:row>
      <xdr:rowOff>59614</xdr:rowOff>
    </xdr:from>
    <xdr:to>
      <xdr:col>21</xdr:col>
      <xdr:colOff>546600</xdr:colOff>
      <xdr:row>25</xdr:row>
      <xdr:rowOff>106663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346E28-9595-4663-AD9F-E77F8B89FE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31804</xdr:colOff>
      <xdr:row>17</xdr:row>
      <xdr:rowOff>23757</xdr:rowOff>
    </xdr:from>
    <xdr:to>
      <xdr:col>12</xdr:col>
      <xdr:colOff>62513</xdr:colOff>
      <xdr:row>24</xdr:row>
      <xdr:rowOff>30762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4494CD78-51BD-4466-95C3-5EF9160198FE}"/>
            </a:ext>
          </a:extLst>
        </xdr:cNvPr>
        <xdr:cNvSpPr/>
      </xdr:nvSpPr>
      <xdr:spPr>
        <a:xfrm rot="5400000">
          <a:off x="4263231" y="3177380"/>
          <a:ext cx="1296055" cy="1249909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E" sz="1100"/>
        </a:p>
      </xdr:txBody>
    </xdr:sp>
    <xdr:clientData/>
  </xdr:twoCellAnchor>
  <xdr:twoCellAnchor>
    <xdr:from>
      <xdr:col>11</xdr:col>
      <xdr:colOff>106027</xdr:colOff>
      <xdr:row>20</xdr:row>
      <xdr:rowOff>56931</xdr:rowOff>
    </xdr:from>
    <xdr:to>
      <xdr:col>12</xdr:col>
      <xdr:colOff>70069</xdr:colOff>
      <xdr:row>20</xdr:row>
      <xdr:rowOff>108392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A8BF5297-BE07-4351-8DFB-34852C6416BF}"/>
            </a:ext>
          </a:extLst>
        </xdr:cNvPr>
        <xdr:cNvCxnSpPr/>
      </xdr:nvCxnSpPr>
      <xdr:spPr>
        <a:xfrm flipH="1">
          <a:off x="4970127" y="3739931"/>
          <a:ext cx="573642" cy="51461"/>
        </a:xfrm>
        <a:prstGeom prst="straightConnector1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110690</xdr:colOff>
      <xdr:row>20</xdr:row>
      <xdr:rowOff>117830</xdr:rowOff>
    </xdr:from>
    <xdr:to>
      <xdr:col>12</xdr:col>
      <xdr:colOff>62513</xdr:colOff>
      <xdr:row>20</xdr:row>
      <xdr:rowOff>123169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372B9147-3FF4-4041-99ED-0099410FEC77}"/>
            </a:ext>
          </a:extLst>
        </xdr:cNvPr>
        <xdr:cNvCxnSpPr>
          <a:stCxn id="3" idx="0"/>
        </xdr:cNvCxnSpPr>
      </xdr:nvCxnSpPr>
      <xdr:spPr>
        <a:xfrm rot="5400000">
          <a:off x="5252832" y="3522788"/>
          <a:ext cx="5339" cy="561423"/>
        </a:xfrm>
        <a:prstGeom prst="straightConnector1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62514</xdr:colOff>
      <xdr:row>20</xdr:row>
      <xdr:rowOff>47761</xdr:rowOff>
    </xdr:from>
    <xdr:to>
      <xdr:col>12</xdr:col>
      <xdr:colOff>62514</xdr:colOff>
      <xdr:row>20</xdr:row>
      <xdr:rowOff>129216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99B2EFB6-F4ED-4881-AEE6-60D9A1892E20}"/>
            </a:ext>
          </a:extLst>
        </xdr:cNvPr>
        <xdr:cNvCxnSpPr/>
      </xdr:nvCxnSpPr>
      <xdr:spPr>
        <a:xfrm rot="5400000">
          <a:off x="5495486" y="3771489"/>
          <a:ext cx="81455" cy="0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35035</xdr:colOff>
      <xdr:row>16</xdr:row>
      <xdr:rowOff>35034</xdr:rowOff>
    </xdr:from>
    <xdr:to>
      <xdr:col>11</xdr:col>
      <xdr:colOff>48173</xdr:colOff>
      <xdr:row>25</xdr:row>
      <xdr:rowOff>21896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473B69D8-DBD9-4D68-A8B3-5CAFD4838453}"/>
            </a:ext>
          </a:extLst>
        </xdr:cNvPr>
        <xdr:cNvCxnSpPr/>
      </xdr:nvCxnSpPr>
      <xdr:spPr>
        <a:xfrm flipH="1">
          <a:off x="4899135" y="2981434"/>
          <a:ext cx="13138" cy="1644212"/>
        </a:xfrm>
        <a:prstGeom prst="straightConnector1">
          <a:avLst/>
        </a:prstGeom>
        <a:ln w="19050" cap="flat" cmpd="sng" algn="ctr">
          <a:solidFill>
            <a:schemeClr val="accent2"/>
          </a:solidFill>
          <a:prstDash val="solid"/>
          <a:round/>
          <a:headEnd type="arrow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381000</xdr:colOff>
      <xdr:row>20</xdr:row>
      <xdr:rowOff>144517</xdr:rowOff>
    </xdr:from>
    <xdr:to>
      <xdr:col>12</xdr:col>
      <xdr:colOff>341586</xdr:colOff>
      <xdr:row>20</xdr:row>
      <xdr:rowOff>153276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10FBAE8D-836D-4E1B-8D3B-D26A6C302014}"/>
            </a:ext>
          </a:extLst>
        </xdr:cNvPr>
        <xdr:cNvCxnSpPr/>
      </xdr:nvCxnSpPr>
      <xdr:spPr>
        <a:xfrm>
          <a:off x="4025900" y="3827517"/>
          <a:ext cx="1789386" cy="8759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arrow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37129</xdr:colOff>
      <xdr:row>0</xdr:row>
      <xdr:rowOff>44673</xdr:rowOff>
    </xdr:from>
    <xdr:to>
      <xdr:col>21</xdr:col>
      <xdr:colOff>380999</xdr:colOff>
      <xdr:row>23</xdr:row>
      <xdr:rowOff>162278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CCFF85-D3BF-4D66-943E-1F664E6E8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47632</xdr:colOff>
      <xdr:row>11</xdr:row>
      <xdr:rowOff>146243</xdr:rowOff>
    </xdr:from>
    <xdr:to>
      <xdr:col>10</xdr:col>
      <xdr:colOff>239889</xdr:colOff>
      <xdr:row>12</xdr:row>
      <xdr:rowOff>8518</xdr:rowOff>
    </xdr:to>
    <xdr:sp macro="" textlink="">
      <xdr:nvSpPr>
        <xdr:cNvPr id="3" name="Arrow: Left-Right 2">
          <a:extLst>
            <a:ext uri="{FF2B5EF4-FFF2-40B4-BE49-F238E27FC236}">
              <a16:creationId xmlns:a16="http://schemas.microsoft.com/office/drawing/2014/main" id="{F09926A4-6A74-4DC8-A1E3-A3E2C040A00F}"/>
            </a:ext>
          </a:extLst>
        </xdr:cNvPr>
        <xdr:cNvSpPr/>
      </xdr:nvSpPr>
      <xdr:spPr>
        <a:xfrm>
          <a:off x="3851282" y="2171893"/>
          <a:ext cx="801857" cy="46425"/>
        </a:xfrm>
        <a:prstGeom prst="leftRightArrow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E" sz="1100"/>
        </a:p>
      </xdr:txBody>
    </xdr:sp>
    <xdr:clientData/>
  </xdr:twoCellAnchor>
  <xdr:twoCellAnchor>
    <xdr:from>
      <xdr:col>8</xdr:col>
      <xdr:colOff>596970</xdr:colOff>
      <xdr:row>12</xdr:row>
      <xdr:rowOff>48396</xdr:rowOff>
    </xdr:from>
    <xdr:to>
      <xdr:col>12</xdr:col>
      <xdr:colOff>7054</xdr:colOff>
      <xdr:row>12</xdr:row>
      <xdr:rowOff>94115</xdr:rowOff>
    </xdr:to>
    <xdr:sp macro="" textlink="">
      <xdr:nvSpPr>
        <xdr:cNvPr id="4" name="Arrow: Left-Right 3">
          <a:extLst>
            <a:ext uri="{FF2B5EF4-FFF2-40B4-BE49-F238E27FC236}">
              <a16:creationId xmlns:a16="http://schemas.microsoft.com/office/drawing/2014/main" id="{F085FC4E-6A20-464B-848A-74581BD1E7BF}"/>
            </a:ext>
          </a:extLst>
        </xdr:cNvPr>
        <xdr:cNvSpPr/>
      </xdr:nvSpPr>
      <xdr:spPr>
        <a:xfrm flipV="1">
          <a:off x="3791020" y="2258196"/>
          <a:ext cx="1848484" cy="45719"/>
        </a:xfrm>
        <a:prstGeom prst="leftRightArrow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E" sz="1100"/>
        </a:p>
      </xdr:txBody>
    </xdr:sp>
    <xdr:clientData/>
  </xdr:twoCellAnchor>
  <xdr:oneCellAnchor>
    <xdr:from>
      <xdr:col>10</xdr:col>
      <xdr:colOff>206374</xdr:colOff>
      <xdr:row>8</xdr:row>
      <xdr:rowOff>101600</xdr:rowOff>
    </xdr:from>
    <xdr:ext cx="1857375" cy="50097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568C124-1EC2-4CA2-B1E7-42A0FEC813E9}"/>
            </a:ext>
          </a:extLst>
        </xdr:cNvPr>
        <xdr:cNvSpPr txBox="1"/>
      </xdr:nvSpPr>
      <xdr:spPr>
        <a:xfrm>
          <a:off x="4619624" y="1574800"/>
          <a:ext cx="1857375" cy="5009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en-IE" sz="32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37129</xdr:colOff>
      <xdr:row>0</xdr:row>
      <xdr:rowOff>44673</xdr:rowOff>
    </xdr:from>
    <xdr:to>
      <xdr:col>21</xdr:col>
      <xdr:colOff>380999</xdr:colOff>
      <xdr:row>23</xdr:row>
      <xdr:rowOff>162278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E76E93-800A-418D-A4FC-D1B8F8823D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47632</xdr:colOff>
      <xdr:row>11</xdr:row>
      <xdr:rowOff>146243</xdr:rowOff>
    </xdr:from>
    <xdr:to>
      <xdr:col>10</xdr:col>
      <xdr:colOff>239889</xdr:colOff>
      <xdr:row>12</xdr:row>
      <xdr:rowOff>8518</xdr:rowOff>
    </xdr:to>
    <xdr:sp macro="" textlink="">
      <xdr:nvSpPr>
        <xdr:cNvPr id="3" name="Arrow: Left-Right 2">
          <a:extLst>
            <a:ext uri="{FF2B5EF4-FFF2-40B4-BE49-F238E27FC236}">
              <a16:creationId xmlns:a16="http://schemas.microsoft.com/office/drawing/2014/main" id="{675AD157-C059-4E49-B3F5-53E92E5E45D4}"/>
            </a:ext>
          </a:extLst>
        </xdr:cNvPr>
        <xdr:cNvSpPr/>
      </xdr:nvSpPr>
      <xdr:spPr>
        <a:xfrm>
          <a:off x="3851282" y="2171893"/>
          <a:ext cx="801857" cy="46425"/>
        </a:xfrm>
        <a:prstGeom prst="leftRightArrow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E" sz="1100"/>
        </a:p>
      </xdr:txBody>
    </xdr:sp>
    <xdr:clientData/>
  </xdr:twoCellAnchor>
  <xdr:twoCellAnchor>
    <xdr:from>
      <xdr:col>8</xdr:col>
      <xdr:colOff>596970</xdr:colOff>
      <xdr:row>12</xdr:row>
      <xdr:rowOff>48396</xdr:rowOff>
    </xdr:from>
    <xdr:to>
      <xdr:col>12</xdr:col>
      <xdr:colOff>7054</xdr:colOff>
      <xdr:row>12</xdr:row>
      <xdr:rowOff>94115</xdr:rowOff>
    </xdr:to>
    <xdr:sp macro="" textlink="">
      <xdr:nvSpPr>
        <xdr:cNvPr id="4" name="Arrow: Left-Right 3">
          <a:extLst>
            <a:ext uri="{FF2B5EF4-FFF2-40B4-BE49-F238E27FC236}">
              <a16:creationId xmlns:a16="http://schemas.microsoft.com/office/drawing/2014/main" id="{5FFECCE6-E713-40C1-A212-A1027E7EB842}"/>
            </a:ext>
          </a:extLst>
        </xdr:cNvPr>
        <xdr:cNvSpPr/>
      </xdr:nvSpPr>
      <xdr:spPr>
        <a:xfrm flipV="1">
          <a:off x="3791020" y="2258196"/>
          <a:ext cx="1848484" cy="45719"/>
        </a:xfrm>
        <a:prstGeom prst="leftRightArrow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E" sz="1100"/>
        </a:p>
      </xdr:txBody>
    </xdr:sp>
    <xdr:clientData/>
  </xdr:twoCellAnchor>
  <xdr:oneCellAnchor>
    <xdr:from>
      <xdr:col>10</xdr:col>
      <xdr:colOff>206374</xdr:colOff>
      <xdr:row>8</xdr:row>
      <xdr:rowOff>101600</xdr:rowOff>
    </xdr:from>
    <xdr:ext cx="1857375" cy="50097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372DD36-BBCA-4429-8B77-84F55A7DB5E1}"/>
            </a:ext>
          </a:extLst>
        </xdr:cNvPr>
        <xdr:cNvSpPr txBox="1"/>
      </xdr:nvSpPr>
      <xdr:spPr>
        <a:xfrm>
          <a:off x="4619624" y="1574800"/>
          <a:ext cx="1857375" cy="5009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en-IE" sz="3200"/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865881</xdr:colOff>
      <xdr:row>0</xdr:row>
      <xdr:rowOff>0</xdr:rowOff>
    </xdr:from>
    <xdr:to>
      <xdr:col>19</xdr:col>
      <xdr:colOff>363706</xdr:colOff>
      <xdr:row>20</xdr:row>
      <xdr:rowOff>28222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5043E0-95F7-483E-9279-88AF44608F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47632</xdr:colOff>
      <xdr:row>11</xdr:row>
      <xdr:rowOff>146243</xdr:rowOff>
    </xdr:from>
    <xdr:to>
      <xdr:col>10</xdr:col>
      <xdr:colOff>239889</xdr:colOff>
      <xdr:row>12</xdr:row>
      <xdr:rowOff>8518</xdr:rowOff>
    </xdr:to>
    <xdr:sp macro="" textlink="">
      <xdr:nvSpPr>
        <xdr:cNvPr id="3" name="Arrow: Left-Right 2">
          <a:extLst>
            <a:ext uri="{FF2B5EF4-FFF2-40B4-BE49-F238E27FC236}">
              <a16:creationId xmlns:a16="http://schemas.microsoft.com/office/drawing/2014/main" id="{CB2A914F-BFB5-4A9A-AE22-4786111A6F14}"/>
            </a:ext>
          </a:extLst>
        </xdr:cNvPr>
        <xdr:cNvSpPr/>
      </xdr:nvSpPr>
      <xdr:spPr>
        <a:xfrm>
          <a:off x="5426082" y="2171893"/>
          <a:ext cx="801857" cy="46425"/>
        </a:xfrm>
        <a:prstGeom prst="leftRightArrow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E" sz="1100"/>
        </a:p>
      </xdr:txBody>
    </xdr:sp>
    <xdr:clientData/>
  </xdr:twoCellAnchor>
  <xdr:twoCellAnchor>
    <xdr:from>
      <xdr:col>11</xdr:col>
      <xdr:colOff>419915</xdr:colOff>
      <xdr:row>0</xdr:row>
      <xdr:rowOff>119529</xdr:rowOff>
    </xdr:from>
    <xdr:to>
      <xdr:col>14</xdr:col>
      <xdr:colOff>291353</xdr:colOff>
      <xdr:row>4</xdr:row>
      <xdr:rowOff>59765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Rectangle: Rounded Corners 3">
              <a:extLst>
                <a:ext uri="{FF2B5EF4-FFF2-40B4-BE49-F238E27FC236}">
                  <a16:creationId xmlns:a16="http://schemas.microsoft.com/office/drawing/2014/main" id="{C917CEC8-56C3-4050-B164-D422D88C9D01}"/>
                </a:ext>
              </a:extLst>
            </xdr:cNvPr>
            <xdr:cNvSpPr/>
          </xdr:nvSpPr>
          <xdr:spPr>
            <a:xfrm>
              <a:off x="7017565" y="119529"/>
              <a:ext cx="1700238" cy="676836"/>
            </a:xfrm>
            <a:prstGeom prst="roundRect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14:m>
                <m:oMath xmlns:m="http://schemas.openxmlformats.org/officeDocument/2006/math">
                  <m:r>
                    <a:rPr lang="en-IE" sz="1400" b="0" i="1" kern="1200">
                      <a:solidFill>
                        <a:schemeClr val="tx1"/>
                      </a:solidFill>
                      <a:latin typeface="Cambria Math" panose="02040503050406030204" pitchFamily="18" charset="0"/>
                    </a:rPr>
                    <m:t>𝑠𝑖𝑛</m:t>
                  </m:r>
                  <m:r>
                    <a:rPr lang="en-IE" sz="1400" b="0" i="1" kern="1200">
                      <a:solidFill>
                        <a:schemeClr val="tx1"/>
                      </a:solidFill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𝜃</m:t>
                  </m:r>
                  <m:r>
                    <a:rPr lang="en-IE" sz="1400" b="0" i="1" kern="1200">
                      <a:solidFill>
                        <a:schemeClr val="tx1"/>
                      </a:solidFill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=</m:t>
                  </m:r>
                  <m:r>
                    <m:rPr>
                      <m:sty m:val="p"/>
                    </m:rPr>
                    <a:rPr lang="en-US" altLang="zh-CN" sz="1400" b="0" i="1" kern="1200">
                      <a:solidFill>
                        <a:schemeClr val="tx1"/>
                      </a:solidFill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cos</m:t>
                  </m:r>
                </m:oMath>
              </a14:m>
              <a:r>
                <a:rPr lang="en-IE" sz="1400" b="0" i="1" kern="120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(</a:t>
              </a:r>
              <a14:m>
                <m:oMath xmlns:m="http://schemas.openxmlformats.org/officeDocument/2006/math">
                  <m:r>
                    <a:rPr lang="en-IE" sz="1400" b="0" i="1" kern="1200">
                      <a:solidFill>
                        <a:schemeClr val="tx1"/>
                      </a:solidFill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𝜃</m:t>
                  </m:r>
                </m:oMath>
              </a14:m>
              <a:r>
                <a:rPr lang="en-IE" sz="1400" b="0" i="1" kern="120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- </a:t>
              </a:r>
              <a14:m>
                <m:oMath xmlns:m="http://schemas.openxmlformats.org/officeDocument/2006/math">
                  <m:f>
                    <m:fPr>
                      <m:ctrlPr>
                        <a:rPr lang="en-IE" sz="1400" b="0" i="1" kern="1200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fPr>
                    <m:num>
                      <m:r>
                        <a:rPr lang="en-IE" sz="1400" b="0" i="1" kern="1200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𝜋</m:t>
                      </m:r>
                    </m:num>
                    <m:den>
                      <m:r>
                        <a:rPr lang="en-IE" sz="1400" b="0" i="1" kern="1200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2</m:t>
                      </m:r>
                    </m:den>
                  </m:f>
                </m:oMath>
              </a14:m>
              <a:r>
                <a:rPr lang="en-IE" sz="1400" b="0" i="1" kern="120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) </a:t>
              </a:r>
              <a:r>
                <a:rPr lang="en-IE" sz="1400" b="0" i="1" kern="1200" baseline="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</a:p>
            <a:p>
              <a:r>
                <a:rPr lang="en-IE" sz="1400" b="0" i="1" kern="120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90 dgrees  mag 2 </a:t>
              </a:r>
            </a:p>
          </xdr:txBody>
        </xdr:sp>
      </mc:Choice>
      <mc:Fallback xmlns="">
        <xdr:sp macro="" textlink="">
          <xdr:nvSpPr>
            <xdr:cNvPr id="4" name="Rectangle: Rounded Corners 3">
              <a:extLst>
                <a:ext uri="{FF2B5EF4-FFF2-40B4-BE49-F238E27FC236}">
                  <a16:creationId xmlns:a16="http://schemas.microsoft.com/office/drawing/2014/main" id="{C917CEC8-56C3-4050-B164-D422D88C9D01}"/>
                </a:ext>
              </a:extLst>
            </xdr:cNvPr>
            <xdr:cNvSpPr/>
          </xdr:nvSpPr>
          <xdr:spPr>
            <a:xfrm>
              <a:off x="7017565" y="119529"/>
              <a:ext cx="1700238" cy="676836"/>
            </a:xfrm>
            <a:prstGeom prst="roundRect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IE" sz="1400" b="0" i="0" kern="1200">
                  <a:solidFill>
                    <a:schemeClr val="tx1"/>
                  </a:solidFill>
                  <a:latin typeface="Cambria Math" panose="02040503050406030204" pitchFamily="18" charset="0"/>
                </a:rPr>
                <a:t>𝑠𝑖𝑛</a:t>
              </a:r>
              <a:r>
                <a:rPr lang="en-IE" sz="1400" b="0" i="0" kern="120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𝜃=</a:t>
              </a:r>
              <a:r>
                <a:rPr lang="en-US" altLang="zh-CN" sz="1400" b="0" i="0" kern="120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cos</a:t>
              </a:r>
              <a:r>
                <a:rPr lang="en-IE" sz="1400" b="0" i="1" kern="120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(</a:t>
              </a:r>
              <a:r>
                <a:rPr lang="en-IE" sz="1400" b="0" i="0" kern="120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𝜃</a:t>
              </a:r>
              <a:r>
                <a:rPr lang="en-IE" sz="1400" b="0" i="1" kern="120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- </a:t>
              </a:r>
              <a:r>
                <a:rPr lang="en-IE" sz="1400" b="0" i="0" kern="120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𝜋/2</a:t>
              </a:r>
              <a:r>
                <a:rPr lang="en-IE" sz="1400" b="0" i="1" kern="120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) </a:t>
              </a:r>
              <a:r>
                <a:rPr lang="en-IE" sz="1400" b="0" i="1" kern="1200" baseline="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</a:p>
            <a:p>
              <a:r>
                <a:rPr lang="en-IE" sz="1400" b="0" i="1" kern="120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90 dgrees  mag 2 </a:t>
              </a:r>
            </a:p>
          </xdr:txBody>
        </xdr:sp>
      </mc:Fallback>
    </mc:AlternateContent>
    <xdr:clientData/>
  </xdr:twoCellAnchor>
  <xdr:twoCellAnchor>
    <xdr:from>
      <xdr:col>10</xdr:col>
      <xdr:colOff>291394</xdr:colOff>
      <xdr:row>1</xdr:row>
      <xdr:rowOff>124884</xdr:rowOff>
    </xdr:from>
    <xdr:to>
      <xdr:col>10</xdr:col>
      <xdr:colOff>337113</xdr:colOff>
      <xdr:row>6</xdr:row>
      <xdr:rowOff>162277</xdr:rowOff>
    </xdr:to>
    <xdr:sp macro="" textlink="">
      <xdr:nvSpPr>
        <xdr:cNvPr id="5" name="Arrow: Up-Down 4">
          <a:extLst>
            <a:ext uri="{FF2B5EF4-FFF2-40B4-BE49-F238E27FC236}">
              <a16:creationId xmlns:a16="http://schemas.microsoft.com/office/drawing/2014/main" id="{5C5B052C-D83E-44C3-8F84-2EACCF49C7D9}"/>
            </a:ext>
          </a:extLst>
        </xdr:cNvPr>
        <xdr:cNvSpPr/>
      </xdr:nvSpPr>
      <xdr:spPr>
        <a:xfrm>
          <a:off x="6253338" y="308328"/>
          <a:ext cx="45719" cy="954616"/>
        </a:xfrm>
        <a:prstGeom prst="upDownArrow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E" sz="1100"/>
        </a:p>
      </xdr:txBody>
    </xdr:sp>
    <xdr:clientData/>
  </xdr:twoCellAnchor>
  <xdr:twoCellAnchor>
    <xdr:from>
      <xdr:col>13</xdr:col>
      <xdr:colOff>362091</xdr:colOff>
      <xdr:row>17</xdr:row>
      <xdr:rowOff>84667</xdr:rowOff>
    </xdr:from>
    <xdr:to>
      <xdr:col>13</xdr:col>
      <xdr:colOff>407810</xdr:colOff>
      <xdr:row>22</xdr:row>
      <xdr:rowOff>115711</xdr:rowOff>
    </xdr:to>
    <xdr:sp macro="" textlink="">
      <xdr:nvSpPr>
        <xdr:cNvPr id="6" name="Arrow: Up-Down 5">
          <a:extLst>
            <a:ext uri="{FF2B5EF4-FFF2-40B4-BE49-F238E27FC236}">
              <a16:creationId xmlns:a16="http://schemas.microsoft.com/office/drawing/2014/main" id="{18B88467-31B0-4905-9A72-1AA54CDC4548}"/>
            </a:ext>
          </a:extLst>
        </xdr:cNvPr>
        <xdr:cNvSpPr/>
      </xdr:nvSpPr>
      <xdr:spPr>
        <a:xfrm>
          <a:off x="8144369" y="3203223"/>
          <a:ext cx="45719" cy="948266"/>
        </a:xfrm>
        <a:prstGeom prst="upDownArrow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E" sz="1100"/>
        </a:p>
      </xdr:txBody>
    </xdr:sp>
    <xdr:clientData/>
  </xdr:twoCellAnchor>
  <xdr:twoCellAnchor>
    <xdr:from>
      <xdr:col>8</xdr:col>
      <xdr:colOff>596970</xdr:colOff>
      <xdr:row>12</xdr:row>
      <xdr:rowOff>48396</xdr:rowOff>
    </xdr:from>
    <xdr:to>
      <xdr:col>12</xdr:col>
      <xdr:colOff>7054</xdr:colOff>
      <xdr:row>12</xdr:row>
      <xdr:rowOff>94115</xdr:rowOff>
    </xdr:to>
    <xdr:sp macro="" textlink="">
      <xdr:nvSpPr>
        <xdr:cNvPr id="7" name="Arrow: Left-Right 6">
          <a:extLst>
            <a:ext uri="{FF2B5EF4-FFF2-40B4-BE49-F238E27FC236}">
              <a16:creationId xmlns:a16="http://schemas.microsoft.com/office/drawing/2014/main" id="{4FEA5283-74BF-4E73-AD69-3289E37B8F0D}"/>
            </a:ext>
          </a:extLst>
        </xdr:cNvPr>
        <xdr:cNvSpPr/>
      </xdr:nvSpPr>
      <xdr:spPr>
        <a:xfrm flipV="1">
          <a:off x="5365820" y="2258196"/>
          <a:ext cx="1848484" cy="45719"/>
        </a:xfrm>
        <a:prstGeom prst="leftRightArrow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E" sz="1100"/>
        </a:p>
      </xdr:txBody>
    </xdr:sp>
    <xdr:clientData/>
  </xdr:twoCellAnchor>
  <xdr:oneCellAnchor>
    <xdr:from>
      <xdr:col>10</xdr:col>
      <xdr:colOff>206374</xdr:colOff>
      <xdr:row>8</xdr:row>
      <xdr:rowOff>101600</xdr:rowOff>
    </xdr:from>
    <xdr:ext cx="1857375" cy="50097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8C68EE2-41B6-4C2A-8276-AC2ED3AF49CD}"/>
            </a:ext>
          </a:extLst>
        </xdr:cNvPr>
        <xdr:cNvSpPr txBox="1"/>
      </xdr:nvSpPr>
      <xdr:spPr>
        <a:xfrm>
          <a:off x="6194424" y="1574800"/>
          <a:ext cx="1857375" cy="5009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en-IE" sz="32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6526e53bd9b9093a/Excel-Templates-All/Math%20-All-Math%20Tutor-Jason%20Professor%20Leonard/Trigonometry-Math%20Tutor.xlsx" TargetMode="External"/><Relationship Id="rId1" Type="http://schemas.openxmlformats.org/officeDocument/2006/relationships/externalLinkPath" Target="Math%20-All-Math%20Tutor-Jason%20Professor%20Leonard/Trigonometry-Math%20Tut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"/>
      <sheetName val="circle unit summary "/>
      <sheetName val="trigonmetric unit circle "/>
      <sheetName val="Angles "/>
      <sheetName val="Sin Cos Graph-2 cycles"/>
      <sheetName val="sin cos shift mag "/>
      <sheetName val="sec cosec graph"/>
      <sheetName val="csc sine"/>
      <sheetName val="tang graph)"/>
      <sheetName val="Log Simplified"/>
      <sheetName val="ln"/>
      <sheetName val="Logarithm Model"/>
      <sheetName val="Base Value Power change Summary"/>
      <sheetName val="base raised to log base out"/>
      <sheetName val="fixed power"/>
      <sheetName val="exponential graph-All"/>
      <sheetName val="log vs exp graph"/>
      <sheetName val="exponential graph (3)"/>
      <sheetName val="exponential graph (4)"/>
      <sheetName val="log property "/>
      <sheetName val="imaginary exercises"/>
      <sheetName val="numbers"/>
      <sheetName val="Imaginary Numbers"/>
      <sheetName val="Sin Cos Graph -one cycle"/>
    </sheetNames>
    <sheetDataSet>
      <sheetData sheetId="0"/>
      <sheetData sheetId="1"/>
      <sheetData sheetId="2"/>
      <sheetData sheetId="3"/>
      <sheetData sheetId="4">
        <row r="1">
          <cell r="C1" t="str">
            <v xml:space="preserve">sine x </v>
          </cell>
        </row>
      </sheetData>
      <sheetData sheetId="5">
        <row r="1">
          <cell r="C1" t="str">
            <v xml:space="preserve">sine x </v>
          </cell>
        </row>
      </sheetData>
      <sheetData sheetId="6">
        <row r="1">
          <cell r="C1" t="str">
            <v xml:space="preserve">sec x </v>
          </cell>
          <cell r="D1" t="str">
            <v>y=2*sin(𝜃)</v>
          </cell>
        </row>
        <row r="2">
          <cell r="A2">
            <v>0</v>
          </cell>
          <cell r="C2">
            <v>1</v>
          </cell>
          <cell r="D2">
            <v>0</v>
          </cell>
          <cell r="G2">
            <v>0</v>
          </cell>
          <cell r="H2">
            <v>1</v>
          </cell>
        </row>
        <row r="3">
          <cell r="A3">
            <v>15</v>
          </cell>
          <cell r="C3">
            <v>1.035276180410083</v>
          </cell>
          <cell r="D3">
            <v>0.51763809020504148</v>
          </cell>
          <cell r="G3">
            <v>0.49999999999999994</v>
          </cell>
          <cell r="H3">
            <v>0.86602540378443871</v>
          </cell>
        </row>
        <row r="4">
          <cell r="A4">
            <v>30</v>
          </cell>
          <cell r="C4">
            <v>1.1547005383792515</v>
          </cell>
          <cell r="D4">
            <v>0.99999999999999989</v>
          </cell>
          <cell r="G4">
            <v>0.8660254037844386</v>
          </cell>
          <cell r="H4">
            <v>0.50000000000000011</v>
          </cell>
        </row>
        <row r="5">
          <cell r="A5">
            <v>45</v>
          </cell>
          <cell r="C5">
            <v>1.4142135623730949</v>
          </cell>
          <cell r="D5">
            <v>1.4142135623730949</v>
          </cell>
          <cell r="G5">
            <v>1</v>
          </cell>
          <cell r="H5">
            <v>6.1257422745431001E-17</v>
          </cell>
        </row>
        <row r="6">
          <cell r="A6">
            <v>60</v>
          </cell>
          <cell r="C6">
            <v>1.9999999999999996</v>
          </cell>
          <cell r="D6">
            <v>1.7320508075688772</v>
          </cell>
          <cell r="G6">
            <v>0.86602540378443871</v>
          </cell>
          <cell r="H6">
            <v>-0.49999999999999978</v>
          </cell>
        </row>
        <row r="7">
          <cell r="A7">
            <v>75</v>
          </cell>
          <cell r="C7">
            <v>3.8637033051562737</v>
          </cell>
          <cell r="D7">
            <v>1.9318516525781366</v>
          </cell>
          <cell r="G7">
            <v>0.49999999999999994</v>
          </cell>
          <cell r="H7">
            <v>-0.86602540378443871</v>
          </cell>
        </row>
        <row r="8">
          <cell r="A8">
            <v>90</v>
          </cell>
          <cell r="C8">
            <v>1.6324552277619072E+16</v>
          </cell>
          <cell r="D8">
            <v>2</v>
          </cell>
          <cell r="G8">
            <v>1.22514845490862E-16</v>
          </cell>
          <cell r="H8">
            <v>-1</v>
          </cell>
        </row>
        <row r="9">
          <cell r="A9">
            <v>105</v>
          </cell>
          <cell r="C9">
            <v>-3.8637033051562719</v>
          </cell>
          <cell r="D9">
            <v>1.9318516525781366</v>
          </cell>
          <cell r="G9">
            <v>-0.50000000000000011</v>
          </cell>
          <cell r="H9">
            <v>-0.8660254037844386</v>
          </cell>
        </row>
        <row r="10">
          <cell r="A10">
            <v>120</v>
          </cell>
          <cell r="C10">
            <v>-2.0000000000000009</v>
          </cell>
          <cell r="D10">
            <v>1.7320508075688774</v>
          </cell>
          <cell r="G10">
            <v>-0.86602540378443837</v>
          </cell>
          <cell r="H10">
            <v>-0.50000000000000044</v>
          </cell>
        </row>
        <row r="11">
          <cell r="A11">
            <v>135</v>
          </cell>
          <cell r="C11">
            <v>-1.4142135623730951</v>
          </cell>
          <cell r="D11">
            <v>1.4142135623730951</v>
          </cell>
          <cell r="G11">
            <v>-1</v>
          </cell>
          <cell r="H11">
            <v>-1.83772268236293E-16</v>
          </cell>
        </row>
        <row r="12">
          <cell r="A12">
            <v>150</v>
          </cell>
          <cell r="C12">
            <v>-1.1547005383792515</v>
          </cell>
          <cell r="D12">
            <v>0.99999999999999989</v>
          </cell>
          <cell r="G12">
            <v>-0.8660254037844386</v>
          </cell>
          <cell r="H12">
            <v>0.50000000000000011</v>
          </cell>
        </row>
        <row r="13">
          <cell r="A13">
            <v>165</v>
          </cell>
          <cell r="C13">
            <v>-1.0352761804100832</v>
          </cell>
          <cell r="D13">
            <v>0.51763809020504203</v>
          </cell>
          <cell r="G13">
            <v>-0.50000000000000044</v>
          </cell>
          <cell r="H13">
            <v>0.86602540378443837</v>
          </cell>
        </row>
        <row r="14">
          <cell r="A14">
            <v>180</v>
          </cell>
          <cell r="C14">
            <v>-1</v>
          </cell>
          <cell r="D14">
            <v>2.45029690981724E-16</v>
          </cell>
          <cell r="G14">
            <v>-2.45029690981724E-16</v>
          </cell>
          <cell r="H14">
            <v>1</v>
          </cell>
        </row>
        <row r="15">
          <cell r="A15">
            <v>195</v>
          </cell>
          <cell r="C15">
            <v>-1.035276180410083</v>
          </cell>
          <cell r="D15">
            <v>-0.51763809020504159</v>
          </cell>
          <cell r="G15">
            <v>0.5</v>
          </cell>
          <cell r="H15">
            <v>0.8660254037844386</v>
          </cell>
        </row>
        <row r="16">
          <cell r="A16">
            <v>210</v>
          </cell>
          <cell r="C16">
            <v>-1.1547005383792517</v>
          </cell>
          <cell r="D16">
            <v>-1.0000000000000002</v>
          </cell>
          <cell r="G16">
            <v>0.86602540378443882</v>
          </cell>
          <cell r="H16">
            <v>0.49999999999999972</v>
          </cell>
        </row>
        <row r="17">
          <cell r="A17">
            <v>225</v>
          </cell>
          <cell r="C17">
            <v>-1.4142135623730947</v>
          </cell>
          <cell r="D17">
            <v>-1.4142135623730949</v>
          </cell>
          <cell r="G17">
            <v>1</v>
          </cell>
          <cell r="H17">
            <v>3.06287113727155E-16</v>
          </cell>
        </row>
        <row r="18">
          <cell r="A18">
            <v>240</v>
          </cell>
          <cell r="C18">
            <v>-1.9999999999999982</v>
          </cell>
          <cell r="D18">
            <v>-1.7320508075688767</v>
          </cell>
          <cell r="G18">
            <v>0.86602540378443915</v>
          </cell>
          <cell r="H18">
            <v>-0.49999999999999922</v>
          </cell>
        </row>
        <row r="19">
          <cell r="A19">
            <v>255</v>
          </cell>
          <cell r="C19">
            <v>-3.863703305156275</v>
          </cell>
          <cell r="D19">
            <v>-1.9318516525781366</v>
          </cell>
          <cell r="G19">
            <v>0.49999999999999978</v>
          </cell>
          <cell r="H19">
            <v>-0.86602540378443882</v>
          </cell>
        </row>
        <row r="20">
          <cell r="A20">
            <v>270</v>
          </cell>
          <cell r="C20">
            <v>-5441517425873024</v>
          </cell>
          <cell r="D20">
            <v>-2</v>
          </cell>
          <cell r="G20">
            <v>3.67544536472586E-16</v>
          </cell>
          <cell r="H20">
            <v>-1</v>
          </cell>
        </row>
        <row r="21">
          <cell r="A21">
            <v>285</v>
          </cell>
          <cell r="C21">
            <v>3.8637033051562799</v>
          </cell>
          <cell r="D21">
            <v>-1.9318516525781368</v>
          </cell>
          <cell r="G21">
            <v>-0.49999999999999917</v>
          </cell>
          <cell r="H21">
            <v>-0.86602540378443915</v>
          </cell>
        </row>
        <row r="22">
          <cell r="A22">
            <v>300</v>
          </cell>
          <cell r="C22">
            <v>1.9999999999999996</v>
          </cell>
          <cell r="D22">
            <v>-1.7320508075688772</v>
          </cell>
          <cell r="G22">
            <v>-0.86602540378443871</v>
          </cell>
          <cell r="H22">
            <v>-0.49999999999999983</v>
          </cell>
        </row>
        <row r="23">
          <cell r="A23">
            <v>315</v>
          </cell>
          <cell r="C23">
            <v>1.4142135623730954</v>
          </cell>
          <cell r="D23">
            <v>-1.4142135623730954</v>
          </cell>
          <cell r="G23">
            <v>-1</v>
          </cell>
          <cell r="H23">
            <v>-4.28801959218017E-16</v>
          </cell>
        </row>
        <row r="24">
          <cell r="A24">
            <v>330</v>
          </cell>
          <cell r="C24">
            <v>1.1547005383792519</v>
          </cell>
          <cell r="D24">
            <v>-1.0000000000000009</v>
          </cell>
          <cell r="G24">
            <v>-0.86602540378443915</v>
          </cell>
          <cell r="H24">
            <v>0.49999999999999911</v>
          </cell>
        </row>
        <row r="25">
          <cell r="A25">
            <v>345</v>
          </cell>
          <cell r="C25">
            <v>1.035276180410083</v>
          </cell>
          <cell r="D25">
            <v>-0.51763809020504137</v>
          </cell>
          <cell r="G25">
            <v>-0.49999999999999989</v>
          </cell>
          <cell r="H25">
            <v>0.86602540378443871</v>
          </cell>
        </row>
        <row r="26">
          <cell r="A26">
            <v>360</v>
          </cell>
          <cell r="C26">
            <v>1</v>
          </cell>
          <cell r="D26">
            <v>-4.90059381963448E-16</v>
          </cell>
          <cell r="G26">
            <v>-4.90059381963448E-16</v>
          </cell>
          <cell r="H26">
            <v>1</v>
          </cell>
        </row>
        <row r="27">
          <cell r="A27">
            <v>375</v>
          </cell>
          <cell r="C27">
            <v>1.035276180410083</v>
          </cell>
          <cell r="D27">
            <v>0.51763809020504048</v>
          </cell>
          <cell r="G27">
            <v>0.49999999999999906</v>
          </cell>
          <cell r="H27">
            <v>0.86602540378443915</v>
          </cell>
        </row>
        <row r="28">
          <cell r="A28">
            <v>390</v>
          </cell>
          <cell r="C28">
            <v>1.1547005383792517</v>
          </cell>
          <cell r="D28">
            <v>1</v>
          </cell>
          <cell r="G28">
            <v>0.86602540378443871</v>
          </cell>
          <cell r="H28">
            <v>0.49999999999999994</v>
          </cell>
        </row>
        <row r="29">
          <cell r="A29">
            <v>405</v>
          </cell>
          <cell r="C29">
            <v>1.4142135623730947</v>
          </cell>
          <cell r="D29">
            <v>1.4142135623730947</v>
          </cell>
          <cell r="G29">
            <v>1</v>
          </cell>
          <cell r="H29">
            <v>5.51316804708879E-16</v>
          </cell>
        </row>
        <row r="30">
          <cell r="A30">
            <v>420</v>
          </cell>
          <cell r="C30">
            <v>2.0000000000000009</v>
          </cell>
          <cell r="D30">
            <v>1.7320508075688776</v>
          </cell>
          <cell r="G30">
            <v>0.86602540378443837</v>
          </cell>
          <cell r="H30">
            <v>-0.50000000000000056</v>
          </cell>
        </row>
        <row r="31">
          <cell r="A31">
            <v>435</v>
          </cell>
          <cell r="C31">
            <v>3.8637033051562737</v>
          </cell>
          <cell r="D31">
            <v>1.9318516525781366</v>
          </cell>
          <cell r="G31">
            <v>0.5</v>
          </cell>
          <cell r="H31">
            <v>-0.8660254037844386</v>
          </cell>
        </row>
        <row r="32">
          <cell r="A32">
            <v>450</v>
          </cell>
          <cell r="C32">
            <v>3264910455523814.5</v>
          </cell>
          <cell r="D32">
            <v>2</v>
          </cell>
          <cell r="G32">
            <v>6.1257422745431001E-16</v>
          </cell>
          <cell r="H32">
            <v>-1</v>
          </cell>
        </row>
        <row r="33">
          <cell r="A33">
            <v>465</v>
          </cell>
          <cell r="C33">
            <v>-3.8637033051562817</v>
          </cell>
          <cell r="D33">
            <v>1.9318516525781368</v>
          </cell>
          <cell r="G33">
            <v>-0.49999999999999895</v>
          </cell>
          <cell r="H33">
            <v>-0.86602540378443926</v>
          </cell>
        </row>
        <row r="34">
          <cell r="A34">
            <v>480</v>
          </cell>
          <cell r="C34">
            <v>-2.0000000000000031</v>
          </cell>
          <cell r="D34">
            <v>1.7320508075688783</v>
          </cell>
          <cell r="G34">
            <v>-0.86602540378443771</v>
          </cell>
          <cell r="H34">
            <v>-0.50000000000000155</v>
          </cell>
        </row>
        <row r="35">
          <cell r="A35">
            <v>495</v>
          </cell>
          <cell r="C35">
            <v>-1.4142135623730943</v>
          </cell>
          <cell r="D35">
            <v>1.4142135623730943</v>
          </cell>
          <cell r="G35">
            <v>-1</v>
          </cell>
          <cell r="H35">
            <v>1.1025251892005095E-15</v>
          </cell>
        </row>
        <row r="36">
          <cell r="A36">
            <v>510</v>
          </cell>
          <cell r="C36">
            <v>-1.1547005383792512</v>
          </cell>
          <cell r="D36">
            <v>0.99999999999999956</v>
          </cell>
          <cell r="G36">
            <v>-0.86602540378443837</v>
          </cell>
          <cell r="H36">
            <v>0.50000000000000044</v>
          </cell>
        </row>
        <row r="37">
          <cell r="A37">
            <v>525</v>
          </cell>
          <cell r="C37">
            <v>-1.035276180410083</v>
          </cell>
          <cell r="D37">
            <v>0.51763809020504159</v>
          </cell>
          <cell r="G37">
            <v>-0.50000000000000011</v>
          </cell>
          <cell r="H37">
            <v>0.8660254037844386</v>
          </cell>
        </row>
        <row r="38">
          <cell r="A38">
            <v>540</v>
          </cell>
          <cell r="C38">
            <v>-1</v>
          </cell>
          <cell r="D38">
            <v>7.3508907294517201E-16</v>
          </cell>
          <cell r="G38">
            <v>-7.3508907294517201E-16</v>
          </cell>
          <cell r="H38">
            <v>1</v>
          </cell>
        </row>
        <row r="39">
          <cell r="A39">
            <v>555</v>
          </cell>
          <cell r="C39">
            <v>-1.035276180410083</v>
          </cell>
          <cell r="D39">
            <v>-0.51763809020504026</v>
          </cell>
          <cell r="G39">
            <v>0.49999999999999883</v>
          </cell>
          <cell r="H39">
            <v>0.86602540378443937</v>
          </cell>
        </row>
        <row r="40">
          <cell r="A40">
            <v>570</v>
          </cell>
          <cell r="C40">
            <v>-1.1547005383792508</v>
          </cell>
          <cell r="D40">
            <v>-0.99999999999999833</v>
          </cell>
          <cell r="G40">
            <v>0.86602540378443771</v>
          </cell>
          <cell r="H40">
            <v>0.50000000000000167</v>
          </cell>
        </row>
        <row r="41">
          <cell r="A41">
            <v>585</v>
          </cell>
          <cell r="C41">
            <v>-1.4142135623730958</v>
          </cell>
          <cell r="D41">
            <v>-1.4142135623730958</v>
          </cell>
          <cell r="G41">
            <v>1</v>
          </cell>
          <cell r="H41">
            <v>-9.8001034370964746E-16</v>
          </cell>
        </row>
        <row r="42">
          <cell r="A42">
            <v>600</v>
          </cell>
          <cell r="C42">
            <v>-2.0000000000000009</v>
          </cell>
          <cell r="D42">
            <v>-1.7320508075688774</v>
          </cell>
          <cell r="G42">
            <v>0.86602540378443849</v>
          </cell>
          <cell r="H42">
            <v>-0.50000000000000033</v>
          </cell>
        </row>
        <row r="43">
          <cell r="A43">
            <v>615</v>
          </cell>
          <cell r="C43">
            <v>-3.863703305156271</v>
          </cell>
          <cell r="D43">
            <v>-1.9318516525781364</v>
          </cell>
          <cell r="G43">
            <v>0.50000000000000022</v>
          </cell>
          <cell r="H43">
            <v>-0.86602540378443849</v>
          </cell>
        </row>
        <row r="44">
          <cell r="A44">
            <v>630</v>
          </cell>
          <cell r="C44">
            <v>-2332078896802724.5</v>
          </cell>
          <cell r="D44">
            <v>-2</v>
          </cell>
          <cell r="G44">
            <v>8.5760391843603401E-16</v>
          </cell>
          <cell r="H44">
            <v>-1</v>
          </cell>
        </row>
        <row r="45">
          <cell r="A45">
            <v>645</v>
          </cell>
          <cell r="C45">
            <v>3.8637033051562835</v>
          </cell>
          <cell r="D45">
            <v>-1.9318516525781368</v>
          </cell>
          <cell r="G45">
            <v>-0.49999999999999872</v>
          </cell>
          <cell r="H45">
            <v>-0.86602540378443937</v>
          </cell>
        </row>
        <row r="46">
          <cell r="A46">
            <v>660</v>
          </cell>
          <cell r="C46">
            <v>2.0000000000000036</v>
          </cell>
          <cell r="D46">
            <v>-1.7320508075688783</v>
          </cell>
          <cell r="G46">
            <v>-0.8660254037844376</v>
          </cell>
          <cell r="H46">
            <v>-0.50000000000000178</v>
          </cell>
        </row>
        <row r="47">
          <cell r="A47">
            <v>675</v>
          </cell>
          <cell r="C47">
            <v>1.4142135623730945</v>
          </cell>
          <cell r="D47">
            <v>-1.4142135623730945</v>
          </cell>
          <cell r="G47">
            <v>-1</v>
          </cell>
          <cell r="H47">
            <v>8.5749549821878546E-16</v>
          </cell>
        </row>
        <row r="48">
          <cell r="A48">
            <v>690</v>
          </cell>
          <cell r="C48">
            <v>1.1547005383792515</v>
          </cell>
          <cell r="D48">
            <v>-0.99999999999999978</v>
          </cell>
          <cell r="G48">
            <v>-0.86602540378443849</v>
          </cell>
          <cell r="H48">
            <v>0.50000000000000022</v>
          </cell>
        </row>
        <row r="49">
          <cell r="A49">
            <v>705</v>
          </cell>
          <cell r="C49">
            <v>1.0352761804100832</v>
          </cell>
          <cell r="D49">
            <v>-0.51763809020504192</v>
          </cell>
          <cell r="G49">
            <v>-0.50000000000000033</v>
          </cell>
          <cell r="H49">
            <v>0.86602540378443849</v>
          </cell>
        </row>
        <row r="50">
          <cell r="A50">
            <v>720</v>
          </cell>
          <cell r="C50">
            <v>1</v>
          </cell>
          <cell r="D50">
            <v>-9.8011876392689601E-16</v>
          </cell>
          <cell r="G50">
            <v>-9.8011876392689601E-16</v>
          </cell>
          <cell r="H50">
            <v>1</v>
          </cell>
        </row>
      </sheetData>
      <sheetData sheetId="7">
        <row r="1">
          <cell r="E1" t="str">
            <v xml:space="preserve">sine  x </v>
          </cell>
        </row>
      </sheetData>
      <sheetData sheetId="8">
        <row r="1">
          <cell r="C1" t="str">
            <v xml:space="preserve">tang x </v>
          </cell>
          <cell r="E1" t="str">
            <v xml:space="preserve">CSC  x </v>
          </cell>
          <cell r="F1" t="str">
            <v>y=2*cos(𝜃)</v>
          </cell>
          <cell r="G1" t="str">
            <v>y=sin(2*𝜃)</v>
          </cell>
        </row>
        <row r="2">
          <cell r="A2">
            <v>0</v>
          </cell>
          <cell r="E2" t="e">
            <v>#DIV/0!</v>
          </cell>
          <cell r="F2">
            <v>2</v>
          </cell>
          <cell r="G2">
            <v>0</v>
          </cell>
        </row>
        <row r="3">
          <cell r="A3">
            <v>15</v>
          </cell>
          <cell r="E3">
            <v>3.8637033051562737</v>
          </cell>
          <cell r="F3">
            <v>1.9318516525781366</v>
          </cell>
          <cell r="G3">
            <v>0.49999999999999994</v>
          </cell>
        </row>
        <row r="4">
          <cell r="A4">
            <v>30</v>
          </cell>
          <cell r="E4">
            <v>2</v>
          </cell>
          <cell r="F4">
            <v>1.7320508075688774</v>
          </cell>
          <cell r="G4">
            <v>0.8660254037844386</v>
          </cell>
        </row>
        <row r="5">
          <cell r="A5">
            <v>45</v>
          </cell>
          <cell r="E5">
            <v>1.4142135623730951</v>
          </cell>
          <cell r="F5">
            <v>1.4142135623730951</v>
          </cell>
          <cell r="G5">
            <v>1</v>
          </cell>
        </row>
        <row r="6">
          <cell r="A6">
            <v>60</v>
          </cell>
          <cell r="E6">
            <v>1.1547005383792517</v>
          </cell>
          <cell r="F6">
            <v>1.0000000000000002</v>
          </cell>
          <cell r="G6">
            <v>0.86602540378443871</v>
          </cell>
        </row>
        <row r="7">
          <cell r="A7">
            <v>75</v>
          </cell>
          <cell r="E7">
            <v>1.035276180410083</v>
          </cell>
          <cell r="F7">
            <v>0.51763809020504148</v>
          </cell>
          <cell r="G7">
            <v>0.49999999999999994</v>
          </cell>
        </row>
        <row r="8">
          <cell r="A8">
            <v>90</v>
          </cell>
          <cell r="E8">
            <v>1</v>
          </cell>
          <cell r="F8">
            <v>1.22514845490862E-16</v>
          </cell>
          <cell r="G8">
            <v>1.22514845490862E-16</v>
          </cell>
        </row>
        <row r="9">
          <cell r="A9">
            <v>105</v>
          </cell>
          <cell r="E9">
            <v>1.035276180410083</v>
          </cell>
          <cell r="F9">
            <v>-0.5176380902050417</v>
          </cell>
          <cell r="G9">
            <v>-0.50000000000000011</v>
          </cell>
        </row>
        <row r="10">
          <cell r="A10">
            <v>120</v>
          </cell>
          <cell r="E10">
            <v>1.1547005383792515</v>
          </cell>
          <cell r="F10">
            <v>-0.99999999999999956</v>
          </cell>
          <cell r="G10">
            <v>-0.86602540378443837</v>
          </cell>
        </row>
        <row r="11">
          <cell r="A11">
            <v>135</v>
          </cell>
          <cell r="E11">
            <v>1.4142135623730949</v>
          </cell>
          <cell r="F11">
            <v>-1.4142135623730949</v>
          </cell>
          <cell r="G11">
            <v>-1</v>
          </cell>
        </row>
        <row r="12">
          <cell r="A12">
            <v>150</v>
          </cell>
          <cell r="E12">
            <v>2</v>
          </cell>
          <cell r="F12">
            <v>-1.7320508075688774</v>
          </cell>
          <cell r="G12">
            <v>-0.8660254037844386</v>
          </cell>
        </row>
        <row r="13">
          <cell r="A13">
            <v>165</v>
          </cell>
          <cell r="E13">
            <v>3.8637033051562693</v>
          </cell>
          <cell r="F13">
            <v>-1.9318516525781364</v>
          </cell>
          <cell r="G13">
            <v>-0.50000000000000044</v>
          </cell>
        </row>
        <row r="14">
          <cell r="A14">
            <v>180</v>
          </cell>
          <cell r="E14">
            <v>8162276138809536</v>
          </cell>
          <cell r="F14">
            <v>-2</v>
          </cell>
          <cell r="G14">
            <v>-2.45029690981724E-16</v>
          </cell>
        </row>
        <row r="15">
          <cell r="A15">
            <v>195</v>
          </cell>
          <cell r="E15">
            <v>-3.8637033051562728</v>
          </cell>
          <cell r="F15">
            <v>-1.9318516525781366</v>
          </cell>
          <cell r="G15">
            <v>0.5</v>
          </cell>
        </row>
        <row r="16">
          <cell r="A16">
            <v>210</v>
          </cell>
          <cell r="E16">
            <v>-1.9999999999999996</v>
          </cell>
          <cell r="F16">
            <v>-1.7320508075688772</v>
          </cell>
          <cell r="G16">
            <v>0.86602540378443882</v>
          </cell>
        </row>
        <row r="17">
          <cell r="A17">
            <v>225</v>
          </cell>
          <cell r="E17">
            <v>-1.4142135623730951</v>
          </cell>
          <cell r="F17">
            <v>-1.4142135623730954</v>
          </cell>
          <cell r="G17">
            <v>1</v>
          </cell>
        </row>
        <row r="18">
          <cell r="A18">
            <v>240</v>
          </cell>
          <cell r="E18">
            <v>-1.1547005383792519</v>
          </cell>
          <cell r="F18">
            <v>-1.0000000000000009</v>
          </cell>
          <cell r="G18">
            <v>0.86602540378443915</v>
          </cell>
        </row>
        <row r="19">
          <cell r="A19">
            <v>255</v>
          </cell>
          <cell r="E19">
            <v>-1.035276180410083</v>
          </cell>
          <cell r="F19">
            <v>-0.51763809020504126</v>
          </cell>
          <cell r="G19">
            <v>0.49999999999999978</v>
          </cell>
        </row>
        <row r="20">
          <cell r="A20">
            <v>270</v>
          </cell>
          <cell r="E20">
            <v>-1</v>
          </cell>
          <cell r="F20">
            <v>-3.67544536472586E-16</v>
          </cell>
          <cell r="G20">
            <v>3.67544536472586E-16</v>
          </cell>
        </row>
        <row r="21">
          <cell r="A21">
            <v>285</v>
          </cell>
          <cell r="E21">
            <v>-1.035276180410083</v>
          </cell>
          <cell r="F21">
            <v>0.51763809020504059</v>
          </cell>
          <cell r="G21">
            <v>-0.49999999999999917</v>
          </cell>
        </row>
        <row r="22">
          <cell r="A22">
            <v>300</v>
          </cell>
          <cell r="E22">
            <v>-1.1547005383792517</v>
          </cell>
          <cell r="F22">
            <v>1.0000000000000002</v>
          </cell>
          <cell r="G22">
            <v>-0.86602540378443871</v>
          </cell>
        </row>
        <row r="23">
          <cell r="A23">
            <v>315</v>
          </cell>
          <cell r="E23">
            <v>-1.4142135623730947</v>
          </cell>
          <cell r="F23">
            <v>1.4142135623730947</v>
          </cell>
          <cell r="G23">
            <v>-1</v>
          </cell>
        </row>
        <row r="24">
          <cell r="A24">
            <v>330</v>
          </cell>
          <cell r="E24">
            <v>-1.9999999999999982</v>
          </cell>
          <cell r="F24">
            <v>1.7320508075688767</v>
          </cell>
          <cell r="G24">
            <v>-0.86602540378443915</v>
          </cell>
        </row>
        <row r="25">
          <cell r="A25">
            <v>345</v>
          </cell>
          <cell r="E25">
            <v>-3.8637033051562741</v>
          </cell>
          <cell r="F25">
            <v>1.9318516525781366</v>
          </cell>
          <cell r="G25">
            <v>-0.49999999999999989</v>
          </cell>
        </row>
        <row r="26">
          <cell r="A26">
            <v>360</v>
          </cell>
          <cell r="E26">
            <v>-4081138069404768</v>
          </cell>
          <cell r="F26">
            <v>2</v>
          </cell>
          <cell r="G26">
            <v>-4.90059381963448E-16</v>
          </cell>
        </row>
        <row r="27">
          <cell r="A27">
            <v>375</v>
          </cell>
          <cell r="E27">
            <v>3.8637033051562808</v>
          </cell>
          <cell r="F27">
            <v>1.9318516525781368</v>
          </cell>
          <cell r="G27">
            <v>0.49999999999999906</v>
          </cell>
        </row>
        <row r="28">
          <cell r="A28">
            <v>390</v>
          </cell>
          <cell r="E28">
            <v>2</v>
          </cell>
          <cell r="F28">
            <v>1.7320508075688772</v>
          </cell>
          <cell r="G28">
            <v>0.86602540378443871</v>
          </cell>
        </row>
        <row r="29">
          <cell r="A29">
            <v>405</v>
          </cell>
          <cell r="E29">
            <v>1.4142135623730954</v>
          </cell>
          <cell r="F29">
            <v>1.4142135623730954</v>
          </cell>
          <cell r="G29">
            <v>1</v>
          </cell>
        </row>
        <row r="30">
          <cell r="A30">
            <v>420</v>
          </cell>
          <cell r="E30">
            <v>1.1547005383792512</v>
          </cell>
          <cell r="F30">
            <v>0.99999999999999944</v>
          </cell>
          <cell r="G30">
            <v>0.86602540378443837</v>
          </cell>
        </row>
        <row r="31">
          <cell r="A31">
            <v>435</v>
          </cell>
          <cell r="E31">
            <v>1.035276180410083</v>
          </cell>
          <cell r="F31">
            <v>0.51763809020504148</v>
          </cell>
          <cell r="G31">
            <v>0.5</v>
          </cell>
        </row>
        <row r="32">
          <cell r="A32">
            <v>450</v>
          </cell>
          <cell r="E32">
            <v>1</v>
          </cell>
          <cell r="F32">
            <v>6.1257422745431001E-16</v>
          </cell>
          <cell r="G32">
            <v>6.1257422745431001E-16</v>
          </cell>
        </row>
        <row r="33">
          <cell r="A33">
            <v>465</v>
          </cell>
          <cell r="E33">
            <v>1.035276180410083</v>
          </cell>
          <cell r="F33">
            <v>-0.51763809020504037</v>
          </cell>
          <cell r="G33">
            <v>-0.49999999999999895</v>
          </cell>
        </row>
        <row r="34">
          <cell r="A34">
            <v>480</v>
          </cell>
          <cell r="E34">
            <v>1.1547005383792508</v>
          </cell>
          <cell r="F34">
            <v>-0.99999999999999845</v>
          </cell>
          <cell r="G34">
            <v>-0.86602540378443771</v>
          </cell>
        </row>
        <row r="35">
          <cell r="A35">
            <v>495</v>
          </cell>
          <cell r="E35">
            <v>1.4142135623730958</v>
          </cell>
          <cell r="F35">
            <v>-1.4142135623730958</v>
          </cell>
          <cell r="G35">
            <v>-1</v>
          </cell>
        </row>
        <row r="36">
          <cell r="A36">
            <v>510</v>
          </cell>
          <cell r="E36">
            <v>2.0000000000000009</v>
          </cell>
          <cell r="F36">
            <v>-1.7320508075688776</v>
          </cell>
          <cell r="G36">
            <v>-0.86602540378443837</v>
          </cell>
        </row>
        <row r="37">
          <cell r="A37">
            <v>525</v>
          </cell>
          <cell r="E37">
            <v>3.8637033051562728</v>
          </cell>
          <cell r="F37">
            <v>-1.9318516525781366</v>
          </cell>
          <cell r="G37">
            <v>-0.50000000000000011</v>
          </cell>
        </row>
        <row r="38">
          <cell r="A38">
            <v>540</v>
          </cell>
          <cell r="E38">
            <v>2720758712936512</v>
          </cell>
          <cell r="F38">
            <v>-2</v>
          </cell>
          <cell r="G38">
            <v>-7.3508907294517201E-16</v>
          </cell>
        </row>
        <row r="39">
          <cell r="A39">
            <v>555</v>
          </cell>
          <cell r="E39">
            <v>-3.8637033051562826</v>
          </cell>
          <cell r="F39">
            <v>-1.9318516525781368</v>
          </cell>
          <cell r="G39">
            <v>0.49999999999999883</v>
          </cell>
        </row>
        <row r="40">
          <cell r="A40">
            <v>570</v>
          </cell>
          <cell r="E40">
            <v>-2.0000000000000036</v>
          </cell>
          <cell r="F40">
            <v>-1.7320508075688783</v>
          </cell>
          <cell r="G40">
            <v>0.86602540378443771</v>
          </cell>
        </row>
        <row r="41">
          <cell r="A41">
            <v>585</v>
          </cell>
          <cell r="E41">
            <v>-1.4142135623730943</v>
          </cell>
          <cell r="F41">
            <v>-1.4142135623730943</v>
          </cell>
          <cell r="G41">
            <v>1</v>
          </cell>
        </row>
        <row r="42">
          <cell r="A42">
            <v>600</v>
          </cell>
          <cell r="E42">
            <v>-1.1547005383792515</v>
          </cell>
          <cell r="F42">
            <v>-0.99999999999999967</v>
          </cell>
          <cell r="G42">
            <v>0.86602540378443849</v>
          </cell>
        </row>
        <row r="43">
          <cell r="A43">
            <v>615</v>
          </cell>
          <cell r="E43">
            <v>-1.0352761804100832</v>
          </cell>
          <cell r="F43">
            <v>-0.51763809020504181</v>
          </cell>
          <cell r="G43">
            <v>0.50000000000000022</v>
          </cell>
        </row>
        <row r="44">
          <cell r="A44">
            <v>630</v>
          </cell>
          <cell r="E44">
            <v>-1</v>
          </cell>
          <cell r="F44">
            <v>-8.5760391843603401E-16</v>
          </cell>
          <cell r="G44">
            <v>8.5760391843603401E-16</v>
          </cell>
        </row>
        <row r="45">
          <cell r="A45">
            <v>645</v>
          </cell>
          <cell r="E45">
            <v>-1.035276180410083</v>
          </cell>
          <cell r="F45">
            <v>0.51763809020504015</v>
          </cell>
          <cell r="G45">
            <v>-0.49999999999999872</v>
          </cell>
        </row>
        <row r="46">
          <cell r="A46">
            <v>660</v>
          </cell>
          <cell r="E46">
            <v>-1.1547005383792508</v>
          </cell>
          <cell r="F46">
            <v>0.99999999999999822</v>
          </cell>
          <cell r="G46">
            <v>-0.8660254037844376</v>
          </cell>
        </row>
        <row r="47">
          <cell r="A47">
            <v>675</v>
          </cell>
          <cell r="E47">
            <v>-1.4142135623730956</v>
          </cell>
          <cell r="F47">
            <v>1.4142135623730956</v>
          </cell>
          <cell r="G47">
            <v>-1</v>
          </cell>
        </row>
        <row r="48">
          <cell r="A48">
            <v>690</v>
          </cell>
          <cell r="E48">
            <v>-2.0000000000000004</v>
          </cell>
          <cell r="F48">
            <v>1.7320508075688774</v>
          </cell>
          <cell r="G48">
            <v>-0.86602540378443849</v>
          </cell>
        </row>
        <row r="49">
          <cell r="A49">
            <v>705</v>
          </cell>
          <cell r="E49">
            <v>-3.8637033051562701</v>
          </cell>
          <cell r="F49">
            <v>1.9318516525781364</v>
          </cell>
          <cell r="G49">
            <v>-0.50000000000000033</v>
          </cell>
        </row>
        <row r="50">
          <cell r="A50">
            <v>720</v>
          </cell>
          <cell r="E50">
            <v>-2040569034702384</v>
          </cell>
          <cell r="F50">
            <v>2</v>
          </cell>
          <cell r="G50">
            <v>-9.8011876392689601E-16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3FAA6-20D1-4A0F-8292-06E140DFEF9D}">
  <dimension ref="A1:F52"/>
  <sheetViews>
    <sheetView zoomScale="130" zoomScaleNormal="130" workbookViewId="0">
      <selection activeCell="B10" sqref="B10"/>
    </sheetView>
  </sheetViews>
  <sheetFormatPr defaultRowHeight="14.5" x14ac:dyDescent="0.35"/>
  <cols>
    <col min="1" max="1" width="10.81640625" style="1" bestFit="1" customWidth="1"/>
    <col min="2" max="2" width="10" style="1" bestFit="1" customWidth="1"/>
    <col min="3" max="4" width="9.36328125" style="1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5"/>
      <c r="F1" s="15"/>
    </row>
    <row r="2" spans="1:6" x14ac:dyDescent="0.35">
      <c r="A2" s="1">
        <v>0</v>
      </c>
      <c r="B2" s="13">
        <f>RADIANS(A2)</f>
        <v>0</v>
      </c>
      <c r="C2" s="13">
        <f>SIN(B2)</f>
        <v>0</v>
      </c>
      <c r="D2" s="13">
        <f>COS(B2)</f>
        <v>1</v>
      </c>
    </row>
    <row r="3" spans="1:6" x14ac:dyDescent="0.35">
      <c r="A3" s="1">
        <v>15</v>
      </c>
      <c r="B3" s="13">
        <f t="shared" ref="B3:B52" si="0">RADIANS(A3)</f>
        <v>0.26179938779914941</v>
      </c>
      <c r="C3" s="13">
        <f t="shared" ref="C3:C52" si="1">SIN(B3)</f>
        <v>0.25881904510252074</v>
      </c>
      <c r="D3" s="13">
        <f t="shared" ref="D3:D52" si="2">COS(B3)</f>
        <v>0.96592582628906831</v>
      </c>
    </row>
    <row r="4" spans="1:6" x14ac:dyDescent="0.35">
      <c r="A4" s="1">
        <v>30</v>
      </c>
      <c r="B4" s="13">
        <f t="shared" si="0"/>
        <v>0.52359877559829882</v>
      </c>
      <c r="C4" s="13">
        <f t="shared" si="1"/>
        <v>0.49999999999999994</v>
      </c>
      <c r="D4" s="13">
        <f t="shared" si="2"/>
        <v>0.86602540378443871</v>
      </c>
    </row>
    <row r="5" spans="1:6" x14ac:dyDescent="0.35">
      <c r="A5" s="1">
        <v>45</v>
      </c>
      <c r="B5" s="13">
        <f t="shared" si="0"/>
        <v>0.78539816339744828</v>
      </c>
      <c r="C5" s="13">
        <f t="shared" si="1"/>
        <v>0.70710678118654746</v>
      </c>
      <c r="D5" s="13">
        <f t="shared" si="2"/>
        <v>0.70710678118654757</v>
      </c>
    </row>
    <row r="6" spans="1:6" x14ac:dyDescent="0.35">
      <c r="A6" s="1">
        <v>60</v>
      </c>
      <c r="B6" s="13">
        <f t="shared" si="0"/>
        <v>1.0471975511965976</v>
      </c>
      <c r="C6" s="13">
        <f t="shared" si="1"/>
        <v>0.8660254037844386</v>
      </c>
      <c r="D6" s="13">
        <f t="shared" si="2"/>
        <v>0.50000000000000011</v>
      </c>
    </row>
    <row r="7" spans="1:6" x14ac:dyDescent="0.35">
      <c r="A7" s="1">
        <v>75</v>
      </c>
      <c r="B7" s="13">
        <f t="shared" si="0"/>
        <v>1.3089969389957472</v>
      </c>
      <c r="C7" s="13">
        <f t="shared" si="1"/>
        <v>0.96592582628906831</v>
      </c>
      <c r="D7" s="13">
        <f t="shared" si="2"/>
        <v>0.25881904510252074</v>
      </c>
    </row>
    <row r="8" spans="1:6" x14ac:dyDescent="0.35">
      <c r="A8" s="1">
        <v>90</v>
      </c>
      <c r="B8" s="13">
        <f t="shared" si="0"/>
        <v>1.5707963267948966</v>
      </c>
      <c r="C8" s="13">
        <f t="shared" si="1"/>
        <v>1</v>
      </c>
      <c r="D8" s="13">
        <f t="shared" si="2"/>
        <v>6.1257422745431001E-17</v>
      </c>
    </row>
    <row r="9" spans="1:6" x14ac:dyDescent="0.35">
      <c r="A9" s="1">
        <v>105</v>
      </c>
      <c r="B9" s="13">
        <f t="shared" si="0"/>
        <v>1.8325957145940461</v>
      </c>
      <c r="C9" s="13">
        <f t="shared" si="1"/>
        <v>0.96592582628906831</v>
      </c>
      <c r="D9" s="13">
        <f t="shared" si="2"/>
        <v>-0.25881904510252085</v>
      </c>
    </row>
    <row r="10" spans="1:6" x14ac:dyDescent="0.35">
      <c r="A10" s="1">
        <v>120</v>
      </c>
      <c r="B10" s="13">
        <f t="shared" si="0"/>
        <v>2.0943951023931953</v>
      </c>
      <c r="C10" s="13">
        <f t="shared" si="1"/>
        <v>0.86602540378443871</v>
      </c>
      <c r="D10" s="13">
        <f t="shared" si="2"/>
        <v>-0.49999999999999978</v>
      </c>
    </row>
    <row r="11" spans="1:6" x14ac:dyDescent="0.35">
      <c r="A11" s="1">
        <v>135</v>
      </c>
      <c r="B11" s="13">
        <f t="shared" si="0"/>
        <v>2.3561944901923448</v>
      </c>
      <c r="C11" s="13">
        <f t="shared" si="1"/>
        <v>0.70710678118654757</v>
      </c>
      <c r="D11" s="13">
        <f t="shared" si="2"/>
        <v>-0.70710678118654746</v>
      </c>
    </row>
    <row r="12" spans="1:6" x14ac:dyDescent="0.35">
      <c r="A12" s="1">
        <v>150</v>
      </c>
      <c r="B12" s="13">
        <f t="shared" si="0"/>
        <v>2.6179938779914944</v>
      </c>
      <c r="C12" s="13">
        <f t="shared" si="1"/>
        <v>0.49999999999999994</v>
      </c>
      <c r="D12" s="13">
        <f t="shared" si="2"/>
        <v>-0.86602540378443871</v>
      </c>
    </row>
    <row r="13" spans="1:6" x14ac:dyDescent="0.35">
      <c r="A13" s="1">
        <v>165</v>
      </c>
      <c r="B13" s="13">
        <f t="shared" si="0"/>
        <v>2.8797932657906435</v>
      </c>
      <c r="C13" s="13">
        <f t="shared" si="1"/>
        <v>0.25881904510252102</v>
      </c>
      <c r="D13" s="13">
        <f t="shared" si="2"/>
        <v>-0.9659258262890682</v>
      </c>
    </row>
    <row r="14" spans="1:6" x14ac:dyDescent="0.35">
      <c r="A14" s="2">
        <v>180</v>
      </c>
      <c r="B14" s="14">
        <f t="shared" si="0"/>
        <v>3.1415926535897931</v>
      </c>
      <c r="C14" s="14">
        <f t="shared" si="1"/>
        <v>1.22514845490862E-16</v>
      </c>
      <c r="D14" s="14">
        <f t="shared" si="2"/>
        <v>-1</v>
      </c>
    </row>
    <row r="15" spans="1:6" x14ac:dyDescent="0.35">
      <c r="A15" s="1">
        <v>195</v>
      </c>
      <c r="B15" s="13">
        <f t="shared" si="0"/>
        <v>3.4033920413889427</v>
      </c>
      <c r="C15" s="13">
        <f t="shared" si="1"/>
        <v>-0.25881904510252079</v>
      </c>
      <c r="D15" s="13">
        <f t="shared" si="2"/>
        <v>-0.96592582628906831</v>
      </c>
    </row>
    <row r="16" spans="1:6" x14ac:dyDescent="0.35">
      <c r="A16" s="1">
        <v>210</v>
      </c>
      <c r="B16" s="13">
        <f t="shared" si="0"/>
        <v>3.6651914291880923</v>
      </c>
      <c r="C16" s="13">
        <f t="shared" si="1"/>
        <v>-0.50000000000000011</v>
      </c>
      <c r="D16" s="13">
        <f t="shared" si="2"/>
        <v>-0.8660254037844386</v>
      </c>
    </row>
    <row r="17" spans="1:4" x14ac:dyDescent="0.35">
      <c r="A17" s="1">
        <v>225</v>
      </c>
      <c r="B17" s="13">
        <f t="shared" si="0"/>
        <v>3.9269908169872414</v>
      </c>
      <c r="C17" s="13">
        <f t="shared" si="1"/>
        <v>-0.70710678118654746</v>
      </c>
      <c r="D17" s="13">
        <f t="shared" si="2"/>
        <v>-0.70710678118654768</v>
      </c>
    </row>
    <row r="18" spans="1:4" x14ac:dyDescent="0.35">
      <c r="A18" s="1">
        <v>240</v>
      </c>
      <c r="B18" s="13">
        <f t="shared" si="0"/>
        <v>4.1887902047863905</v>
      </c>
      <c r="C18" s="13">
        <f t="shared" si="1"/>
        <v>-0.86602540378443837</v>
      </c>
      <c r="D18" s="13">
        <f t="shared" si="2"/>
        <v>-0.50000000000000044</v>
      </c>
    </row>
    <row r="19" spans="1:4" x14ac:dyDescent="0.35">
      <c r="A19" s="1">
        <v>255</v>
      </c>
      <c r="B19" s="13">
        <f t="shared" si="0"/>
        <v>4.4505895925855405</v>
      </c>
      <c r="C19" s="13">
        <f t="shared" si="1"/>
        <v>-0.96592582628906831</v>
      </c>
      <c r="D19" s="13">
        <f t="shared" si="2"/>
        <v>-0.25881904510252063</v>
      </c>
    </row>
    <row r="20" spans="1:4" x14ac:dyDescent="0.35">
      <c r="A20" s="1">
        <v>270</v>
      </c>
      <c r="B20" s="13">
        <f t="shared" si="0"/>
        <v>4.7123889803846897</v>
      </c>
      <c r="C20" s="13">
        <f t="shared" si="1"/>
        <v>-1</v>
      </c>
      <c r="D20" s="13">
        <f t="shared" si="2"/>
        <v>-1.83772268236293E-16</v>
      </c>
    </row>
    <row r="21" spans="1:4" x14ac:dyDescent="0.35">
      <c r="A21" s="1">
        <v>285</v>
      </c>
      <c r="B21" s="13">
        <f t="shared" si="0"/>
        <v>4.9741883681838388</v>
      </c>
      <c r="C21" s="13">
        <f t="shared" si="1"/>
        <v>-0.96592582628906842</v>
      </c>
      <c r="D21" s="13">
        <f t="shared" si="2"/>
        <v>0.2588190451025203</v>
      </c>
    </row>
    <row r="22" spans="1:4" x14ac:dyDescent="0.35">
      <c r="A22" s="1">
        <v>300</v>
      </c>
      <c r="B22" s="13">
        <f t="shared" si="0"/>
        <v>5.2359877559829888</v>
      </c>
      <c r="C22" s="13">
        <f t="shared" si="1"/>
        <v>-0.8660254037844386</v>
      </c>
      <c r="D22" s="13">
        <f t="shared" si="2"/>
        <v>0.50000000000000011</v>
      </c>
    </row>
    <row r="23" spans="1:4" x14ac:dyDescent="0.35">
      <c r="A23" s="1">
        <v>315</v>
      </c>
      <c r="B23" s="13">
        <f t="shared" si="0"/>
        <v>5.497787143782138</v>
      </c>
      <c r="C23" s="13">
        <f t="shared" si="1"/>
        <v>-0.70710678118654768</v>
      </c>
      <c r="D23" s="13">
        <f t="shared" si="2"/>
        <v>0.70710678118654735</v>
      </c>
    </row>
    <row r="24" spans="1:4" x14ac:dyDescent="0.35">
      <c r="A24" s="1">
        <v>330</v>
      </c>
      <c r="B24" s="13">
        <f t="shared" si="0"/>
        <v>5.7595865315812871</v>
      </c>
      <c r="C24" s="13">
        <f t="shared" si="1"/>
        <v>-0.50000000000000044</v>
      </c>
      <c r="D24" s="13">
        <f t="shared" si="2"/>
        <v>0.86602540378443837</v>
      </c>
    </row>
    <row r="25" spans="1:4" x14ac:dyDescent="0.35">
      <c r="A25" s="1">
        <v>345</v>
      </c>
      <c r="B25" s="13">
        <f t="shared" si="0"/>
        <v>6.0213859193804371</v>
      </c>
      <c r="C25" s="13">
        <f t="shared" si="1"/>
        <v>-0.25881904510252068</v>
      </c>
      <c r="D25" s="13">
        <f t="shared" si="2"/>
        <v>0.96592582628906831</v>
      </c>
    </row>
    <row r="26" spans="1:4" x14ac:dyDescent="0.35">
      <c r="A26" s="1">
        <v>360</v>
      </c>
      <c r="B26" s="13">
        <f t="shared" si="0"/>
        <v>6.2831853071795862</v>
      </c>
      <c r="C26" s="13">
        <f t="shared" si="1"/>
        <v>-2.45029690981724E-16</v>
      </c>
      <c r="D26" s="13">
        <f t="shared" si="2"/>
        <v>1</v>
      </c>
    </row>
    <row r="27" spans="1:4" x14ac:dyDescent="0.35">
      <c r="A27" s="1">
        <v>375</v>
      </c>
      <c r="B27" s="13">
        <f t="shared" si="0"/>
        <v>6.5449846949787354</v>
      </c>
      <c r="C27" s="13">
        <f t="shared" si="1"/>
        <v>0.25881904510252024</v>
      </c>
      <c r="D27" s="13">
        <f t="shared" si="2"/>
        <v>0.96592582628906842</v>
      </c>
    </row>
    <row r="28" spans="1:4" x14ac:dyDescent="0.35">
      <c r="A28" s="1">
        <v>390</v>
      </c>
      <c r="B28" s="13">
        <f t="shared" si="0"/>
        <v>6.8067840827778854</v>
      </c>
      <c r="C28" s="13">
        <f t="shared" si="1"/>
        <v>0.5</v>
      </c>
      <c r="D28" s="13">
        <f t="shared" si="2"/>
        <v>0.8660254037844386</v>
      </c>
    </row>
    <row r="29" spans="1:4" x14ac:dyDescent="0.35">
      <c r="A29" s="1">
        <v>405</v>
      </c>
      <c r="B29" s="13">
        <f t="shared" si="0"/>
        <v>7.0685834705770345</v>
      </c>
      <c r="C29" s="13">
        <f t="shared" si="1"/>
        <v>0.70710678118654735</v>
      </c>
      <c r="D29" s="13">
        <f t="shared" si="2"/>
        <v>0.70710678118654768</v>
      </c>
    </row>
    <row r="30" spans="1:4" x14ac:dyDescent="0.35">
      <c r="A30" s="1">
        <v>420</v>
      </c>
      <c r="B30" s="13">
        <f t="shared" si="0"/>
        <v>7.3303828583761845</v>
      </c>
      <c r="C30" s="13">
        <f t="shared" si="1"/>
        <v>0.86602540378443882</v>
      </c>
      <c r="D30" s="13">
        <f t="shared" si="2"/>
        <v>0.49999999999999972</v>
      </c>
    </row>
    <row r="31" spans="1:4" x14ac:dyDescent="0.35">
      <c r="A31" s="1">
        <v>435</v>
      </c>
      <c r="B31" s="13">
        <f t="shared" si="0"/>
        <v>7.5921822461753337</v>
      </c>
      <c r="C31" s="13">
        <f t="shared" si="1"/>
        <v>0.96592582628906831</v>
      </c>
      <c r="D31" s="13">
        <f t="shared" si="2"/>
        <v>0.25881904510252074</v>
      </c>
    </row>
    <row r="32" spans="1:4" x14ac:dyDescent="0.35">
      <c r="A32" s="1">
        <v>450</v>
      </c>
      <c r="B32" s="13">
        <f t="shared" si="0"/>
        <v>7.8539816339744828</v>
      </c>
      <c r="C32" s="13">
        <f t="shared" si="1"/>
        <v>1</v>
      </c>
      <c r="D32" s="13">
        <f t="shared" si="2"/>
        <v>3.06287113727155E-16</v>
      </c>
    </row>
    <row r="33" spans="1:4" x14ac:dyDescent="0.35">
      <c r="A33" s="1">
        <v>465</v>
      </c>
      <c r="B33" s="13">
        <f t="shared" si="0"/>
        <v>8.1157810217736319</v>
      </c>
      <c r="C33" s="13">
        <f t="shared" si="1"/>
        <v>0.96592582628906842</v>
      </c>
      <c r="D33" s="13">
        <f t="shared" si="2"/>
        <v>-0.25881904510252018</v>
      </c>
    </row>
    <row r="34" spans="1:4" x14ac:dyDescent="0.35">
      <c r="A34" s="1">
        <v>480</v>
      </c>
      <c r="B34" s="13">
        <f t="shared" si="0"/>
        <v>8.3775804095727811</v>
      </c>
      <c r="C34" s="13">
        <f t="shared" si="1"/>
        <v>0.86602540378443915</v>
      </c>
      <c r="D34" s="13">
        <f t="shared" si="2"/>
        <v>-0.49999999999999922</v>
      </c>
    </row>
    <row r="35" spans="1:4" x14ac:dyDescent="0.35">
      <c r="A35" s="1">
        <v>495</v>
      </c>
      <c r="B35" s="13">
        <f t="shared" si="0"/>
        <v>8.639379797371932</v>
      </c>
      <c r="C35" s="13">
        <f t="shared" si="1"/>
        <v>0.70710678118654713</v>
      </c>
      <c r="D35" s="13">
        <f t="shared" si="2"/>
        <v>-0.70710678118654791</v>
      </c>
    </row>
    <row r="36" spans="1:4" x14ac:dyDescent="0.35">
      <c r="A36" s="1">
        <v>510</v>
      </c>
      <c r="B36" s="13">
        <f t="shared" si="0"/>
        <v>8.9011791851710811</v>
      </c>
      <c r="C36" s="13">
        <f t="shared" si="1"/>
        <v>0.49999999999999978</v>
      </c>
      <c r="D36" s="13">
        <f t="shared" si="2"/>
        <v>-0.86602540378443882</v>
      </c>
    </row>
    <row r="37" spans="1:4" x14ac:dyDescent="0.35">
      <c r="A37" s="1">
        <v>525</v>
      </c>
      <c r="B37" s="13">
        <f t="shared" si="0"/>
        <v>9.1629785729702302</v>
      </c>
      <c r="C37" s="13">
        <f t="shared" si="1"/>
        <v>0.25881904510252079</v>
      </c>
      <c r="D37" s="13">
        <f t="shared" si="2"/>
        <v>-0.96592582628906831</v>
      </c>
    </row>
    <row r="38" spans="1:4" x14ac:dyDescent="0.35">
      <c r="A38" s="1">
        <v>540</v>
      </c>
      <c r="B38" s="13">
        <f t="shared" si="0"/>
        <v>9.4247779607693793</v>
      </c>
      <c r="C38" s="13">
        <f t="shared" si="1"/>
        <v>3.67544536472586E-16</v>
      </c>
      <c r="D38" s="13">
        <f t="shared" si="2"/>
        <v>-1</v>
      </c>
    </row>
    <row r="39" spans="1:4" x14ac:dyDescent="0.35">
      <c r="A39" s="1">
        <v>555</v>
      </c>
      <c r="B39" s="13">
        <f t="shared" si="0"/>
        <v>9.6865773485685285</v>
      </c>
      <c r="C39" s="13">
        <f t="shared" si="1"/>
        <v>-0.25881904510252013</v>
      </c>
      <c r="D39" s="13">
        <f t="shared" si="2"/>
        <v>-0.96592582628906842</v>
      </c>
    </row>
    <row r="40" spans="1:4" x14ac:dyDescent="0.35">
      <c r="A40" s="1">
        <v>570</v>
      </c>
      <c r="B40" s="13">
        <f t="shared" si="0"/>
        <v>9.9483767363676776</v>
      </c>
      <c r="C40" s="13">
        <f t="shared" si="1"/>
        <v>-0.49999999999999917</v>
      </c>
      <c r="D40" s="13">
        <f t="shared" si="2"/>
        <v>-0.86602540378443915</v>
      </c>
    </row>
    <row r="41" spans="1:4" x14ac:dyDescent="0.35">
      <c r="A41" s="1">
        <v>585</v>
      </c>
      <c r="B41" s="13">
        <f t="shared" si="0"/>
        <v>10.210176124166829</v>
      </c>
      <c r="C41" s="13">
        <f t="shared" si="1"/>
        <v>-0.70710678118654791</v>
      </c>
      <c r="D41" s="13">
        <f t="shared" si="2"/>
        <v>-0.70710678118654713</v>
      </c>
    </row>
    <row r="42" spans="1:4" x14ac:dyDescent="0.35">
      <c r="A42" s="1">
        <v>600</v>
      </c>
      <c r="B42" s="13">
        <f t="shared" si="0"/>
        <v>10.471975511965978</v>
      </c>
      <c r="C42" s="13">
        <f t="shared" si="1"/>
        <v>-0.86602540378443871</v>
      </c>
      <c r="D42" s="13">
        <f t="shared" si="2"/>
        <v>-0.49999999999999983</v>
      </c>
    </row>
    <row r="43" spans="1:4" x14ac:dyDescent="0.35">
      <c r="A43" s="1">
        <v>615</v>
      </c>
      <c r="B43" s="13">
        <f t="shared" si="0"/>
        <v>10.733774899765127</v>
      </c>
      <c r="C43" s="13">
        <f t="shared" si="1"/>
        <v>-0.9659258262890682</v>
      </c>
      <c r="D43" s="13">
        <f t="shared" si="2"/>
        <v>-0.25881904510252091</v>
      </c>
    </row>
    <row r="44" spans="1:4" x14ac:dyDescent="0.35">
      <c r="A44" s="1">
        <v>630</v>
      </c>
      <c r="B44" s="13">
        <f t="shared" si="0"/>
        <v>10.995574287564276</v>
      </c>
      <c r="C44" s="13">
        <f t="shared" si="1"/>
        <v>-1</v>
      </c>
      <c r="D44" s="13">
        <f t="shared" si="2"/>
        <v>-4.28801959218017E-16</v>
      </c>
    </row>
    <row r="45" spans="1:4" x14ac:dyDescent="0.35">
      <c r="A45" s="1">
        <v>645</v>
      </c>
      <c r="B45" s="13">
        <f t="shared" si="0"/>
        <v>11.257373675363425</v>
      </c>
      <c r="C45" s="13">
        <f t="shared" si="1"/>
        <v>-0.96592582628906842</v>
      </c>
      <c r="D45" s="13">
        <f t="shared" si="2"/>
        <v>0.25881904510252007</v>
      </c>
    </row>
    <row r="46" spans="1:4" x14ac:dyDescent="0.35">
      <c r="A46" s="1">
        <v>660</v>
      </c>
      <c r="B46" s="13">
        <f t="shared" si="0"/>
        <v>11.519173063162574</v>
      </c>
      <c r="C46" s="13">
        <f t="shared" si="1"/>
        <v>-0.86602540378443915</v>
      </c>
      <c r="D46" s="13">
        <f t="shared" si="2"/>
        <v>0.49999999999999911</v>
      </c>
    </row>
    <row r="47" spans="1:4" x14ac:dyDescent="0.35">
      <c r="A47" s="1">
        <v>675</v>
      </c>
      <c r="B47" s="13">
        <f t="shared" si="0"/>
        <v>11.780972450961725</v>
      </c>
      <c r="C47" s="13">
        <f t="shared" si="1"/>
        <v>-0.70710678118654724</v>
      </c>
      <c r="D47" s="13">
        <f t="shared" si="2"/>
        <v>0.70710678118654779</v>
      </c>
    </row>
    <row r="48" spans="1:4" x14ac:dyDescent="0.35">
      <c r="A48" s="1">
        <v>690</v>
      </c>
      <c r="B48" s="13">
        <f t="shared" si="0"/>
        <v>12.042771838760874</v>
      </c>
      <c r="C48" s="13">
        <f t="shared" si="1"/>
        <v>-0.49999999999999989</v>
      </c>
      <c r="D48" s="13">
        <f t="shared" si="2"/>
        <v>0.86602540378443871</v>
      </c>
    </row>
    <row r="49" spans="1:4" x14ac:dyDescent="0.35">
      <c r="A49" s="1">
        <v>705</v>
      </c>
      <c r="B49" s="13">
        <f t="shared" si="0"/>
        <v>12.304571226560023</v>
      </c>
      <c r="C49" s="13">
        <f t="shared" si="1"/>
        <v>-0.25881904510252096</v>
      </c>
      <c r="D49" s="13">
        <f t="shared" si="2"/>
        <v>0.9659258262890682</v>
      </c>
    </row>
    <row r="50" spans="1:4" x14ac:dyDescent="0.35">
      <c r="A50" s="1">
        <v>720</v>
      </c>
      <c r="B50" s="13">
        <f t="shared" si="0"/>
        <v>12.566370614359172</v>
      </c>
      <c r="C50" s="13">
        <f t="shared" si="1"/>
        <v>-4.90059381963448E-16</v>
      </c>
      <c r="D50" s="13">
        <f t="shared" si="2"/>
        <v>1</v>
      </c>
    </row>
    <row r="51" spans="1:4" x14ac:dyDescent="0.35">
      <c r="A51" s="1">
        <v>735</v>
      </c>
      <c r="B51" s="13">
        <f t="shared" si="0"/>
        <v>12.828170002158322</v>
      </c>
      <c r="C51" s="13">
        <f t="shared" si="1"/>
        <v>0.25881904510252002</v>
      </c>
      <c r="D51" s="13">
        <f t="shared" si="2"/>
        <v>0.96592582628906853</v>
      </c>
    </row>
    <row r="52" spans="1:4" x14ac:dyDescent="0.35">
      <c r="A52" s="1">
        <v>750</v>
      </c>
      <c r="B52" s="13">
        <f t="shared" si="0"/>
        <v>13.089969389957471</v>
      </c>
      <c r="C52" s="13">
        <f t="shared" si="1"/>
        <v>0.49999999999999906</v>
      </c>
      <c r="D52" s="13">
        <f t="shared" si="2"/>
        <v>0.86602540378443915</v>
      </c>
    </row>
  </sheetData>
  <mergeCells count="1">
    <mergeCell ref="E1:F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5981D-3964-4403-890E-A7CCC76DEC02}">
  <dimension ref="A1:H50"/>
  <sheetViews>
    <sheetView zoomScale="85" zoomScaleNormal="85" workbookViewId="0">
      <selection activeCell="AA9" sqref="AA9"/>
    </sheetView>
  </sheetViews>
  <sheetFormatPr defaultRowHeight="14.5" x14ac:dyDescent="0.35"/>
  <cols>
    <col min="1" max="2" width="8.7265625" style="3"/>
    <col min="3" max="3" width="0" style="3" hidden="1" customWidth="1"/>
    <col min="4" max="4" width="12.6328125" style="3" hidden="1" customWidth="1"/>
    <col min="5" max="5" width="12.6328125" style="3" bestFit="1" customWidth="1"/>
    <col min="6" max="6" width="5.81640625" style="3" customWidth="1"/>
    <col min="7" max="7" width="6.90625" style="1" hidden="1" customWidth="1"/>
    <col min="8" max="8" width="20.1796875" style="1" hidden="1" customWidth="1"/>
  </cols>
  <sheetData>
    <row r="1" spans="1:8" x14ac:dyDescent="0.35">
      <c r="A1" s="3" t="s">
        <v>0</v>
      </c>
      <c r="B1" s="3" t="s">
        <v>1</v>
      </c>
      <c r="C1" s="3" t="s">
        <v>8</v>
      </c>
      <c r="D1" s="3" t="s">
        <v>4</v>
      </c>
      <c r="E1" s="3" t="s">
        <v>9</v>
      </c>
      <c r="F1" s="3" t="s">
        <v>10</v>
      </c>
    </row>
    <row r="2" spans="1:8" x14ac:dyDescent="0.35">
      <c r="A2" s="3">
        <v>0</v>
      </c>
      <c r="B2" s="3">
        <f>RADIANS(A2)</f>
        <v>0</v>
      </c>
      <c r="C2" s="3">
        <f>_xlfn.SEC(B2)</f>
        <v>1</v>
      </c>
      <c r="D2" s="3">
        <f>2*SIN(B2)</f>
        <v>0</v>
      </c>
      <c r="E2" s="3">
        <f>_xlfn.SEC(B2)</f>
        <v>1</v>
      </c>
      <c r="F2" s="3">
        <f>COS(B2)</f>
        <v>1</v>
      </c>
      <c r="G2" s="1">
        <f>SIN(2*B2)</f>
        <v>0</v>
      </c>
      <c r="H2" s="1">
        <f>COS(2*B2)</f>
        <v>1</v>
      </c>
    </row>
    <row r="3" spans="1:8" x14ac:dyDescent="0.35">
      <c r="A3" s="3">
        <v>15</v>
      </c>
      <c r="B3" s="3">
        <f t="shared" ref="B3:B50" si="0">RADIANS(A3)</f>
        <v>0.26179938779914941</v>
      </c>
      <c r="C3" s="3">
        <f t="shared" ref="C3:C50" si="1">_xlfn.SEC(B3)</f>
        <v>1.035276180410083</v>
      </c>
      <c r="D3" s="3">
        <f t="shared" ref="D3:D50" si="2">2*SIN(B3)</f>
        <v>0.51763809020504148</v>
      </c>
      <c r="E3" s="3">
        <f t="shared" ref="E3:E50" si="3">_xlfn.SEC(B3)</f>
        <v>1.035276180410083</v>
      </c>
      <c r="F3" s="3">
        <f t="shared" ref="F3:F50" si="4">COS(B3)</f>
        <v>0.96592582628906831</v>
      </c>
      <c r="G3" s="1">
        <f t="shared" ref="G3:G50" si="5">SIN(2*B3)</f>
        <v>0.49999999999999994</v>
      </c>
      <c r="H3" s="1">
        <f t="shared" ref="H3:H50" si="6">COS(2*B3)</f>
        <v>0.86602540378443871</v>
      </c>
    </row>
    <row r="4" spans="1:8" x14ac:dyDescent="0.35">
      <c r="A4" s="3">
        <v>30</v>
      </c>
      <c r="B4" s="3">
        <f t="shared" si="0"/>
        <v>0.52359877559829882</v>
      </c>
      <c r="C4" s="3">
        <f t="shared" si="1"/>
        <v>1.1547005383792515</v>
      </c>
      <c r="D4" s="3">
        <f t="shared" si="2"/>
        <v>0.99999999999999989</v>
      </c>
      <c r="E4" s="3">
        <f t="shared" si="3"/>
        <v>1.1547005383792515</v>
      </c>
      <c r="F4" s="3">
        <f t="shared" si="4"/>
        <v>0.86602540378443871</v>
      </c>
      <c r="G4" s="1">
        <f t="shared" si="5"/>
        <v>0.8660254037844386</v>
      </c>
      <c r="H4" s="1">
        <f t="shared" si="6"/>
        <v>0.50000000000000011</v>
      </c>
    </row>
    <row r="5" spans="1:8" x14ac:dyDescent="0.35">
      <c r="A5" s="3">
        <v>45</v>
      </c>
      <c r="B5" s="3">
        <f t="shared" si="0"/>
        <v>0.78539816339744828</v>
      </c>
      <c r="C5" s="3">
        <f t="shared" si="1"/>
        <v>1.4142135623730949</v>
      </c>
      <c r="D5" s="3">
        <f t="shared" si="2"/>
        <v>1.4142135623730949</v>
      </c>
      <c r="E5" s="3">
        <f t="shared" si="3"/>
        <v>1.4142135623730949</v>
      </c>
      <c r="F5" s="3">
        <f t="shared" si="4"/>
        <v>0.70710678118654757</v>
      </c>
      <c r="G5" s="1">
        <f t="shared" si="5"/>
        <v>1</v>
      </c>
      <c r="H5" s="1">
        <f t="shared" si="6"/>
        <v>6.1257422745431001E-17</v>
      </c>
    </row>
    <row r="6" spans="1:8" x14ac:dyDescent="0.35">
      <c r="A6" s="3">
        <v>60</v>
      </c>
      <c r="B6" s="3">
        <f t="shared" si="0"/>
        <v>1.0471975511965976</v>
      </c>
      <c r="C6" s="3">
        <f t="shared" si="1"/>
        <v>1.9999999999999996</v>
      </c>
      <c r="D6" s="3">
        <f t="shared" si="2"/>
        <v>1.7320508075688772</v>
      </c>
      <c r="E6" s="3">
        <f t="shared" si="3"/>
        <v>1.9999999999999996</v>
      </c>
      <c r="F6" s="3">
        <f t="shared" si="4"/>
        <v>0.50000000000000011</v>
      </c>
      <c r="G6" s="1">
        <f t="shared" si="5"/>
        <v>0.86602540378443871</v>
      </c>
      <c r="H6" s="1">
        <f t="shared" si="6"/>
        <v>-0.49999999999999978</v>
      </c>
    </row>
    <row r="7" spans="1:8" x14ac:dyDescent="0.35">
      <c r="A7" s="3">
        <v>75</v>
      </c>
      <c r="B7" s="3">
        <f t="shared" si="0"/>
        <v>1.3089969389957472</v>
      </c>
      <c r="C7" s="3">
        <f t="shared" si="1"/>
        <v>3.8637033051562737</v>
      </c>
      <c r="D7" s="3">
        <f t="shared" si="2"/>
        <v>1.9318516525781366</v>
      </c>
      <c r="E7" s="3">
        <f t="shared" si="3"/>
        <v>3.8637033051562737</v>
      </c>
      <c r="F7" s="3">
        <f t="shared" si="4"/>
        <v>0.25881904510252074</v>
      </c>
      <c r="G7" s="1">
        <f t="shared" si="5"/>
        <v>0.49999999999999994</v>
      </c>
      <c r="H7" s="1">
        <f t="shared" si="6"/>
        <v>-0.86602540378443871</v>
      </c>
    </row>
    <row r="8" spans="1:8" x14ac:dyDescent="0.35">
      <c r="A8" s="4">
        <v>90</v>
      </c>
      <c r="B8" s="4">
        <f t="shared" si="0"/>
        <v>1.5707963267948966</v>
      </c>
      <c r="C8" s="4">
        <f t="shared" si="1"/>
        <v>1.6324552277619072E+16</v>
      </c>
      <c r="D8" s="4">
        <f t="shared" si="2"/>
        <v>2</v>
      </c>
      <c r="E8" s="4">
        <f t="shared" si="3"/>
        <v>1.6324552277619072E+16</v>
      </c>
      <c r="F8" s="5">
        <f t="shared" si="4"/>
        <v>6.1257422745431001E-17</v>
      </c>
      <c r="G8" s="1">
        <f t="shared" si="5"/>
        <v>1.22514845490862E-16</v>
      </c>
      <c r="H8" s="1">
        <f t="shared" si="6"/>
        <v>-1</v>
      </c>
    </row>
    <row r="9" spans="1:8" x14ac:dyDescent="0.35">
      <c r="A9" s="6">
        <v>105</v>
      </c>
      <c r="B9" s="6">
        <f t="shared" si="0"/>
        <v>1.8325957145940461</v>
      </c>
      <c r="C9" s="6">
        <f t="shared" si="1"/>
        <v>-3.8637033051562719</v>
      </c>
      <c r="D9" s="6">
        <f t="shared" si="2"/>
        <v>1.9318516525781366</v>
      </c>
      <c r="E9" s="6">
        <f t="shared" si="3"/>
        <v>-3.8637033051562719</v>
      </c>
      <c r="F9" s="6">
        <f t="shared" si="4"/>
        <v>-0.25881904510252085</v>
      </c>
      <c r="G9" s="1">
        <f t="shared" si="5"/>
        <v>-0.50000000000000011</v>
      </c>
      <c r="H9" s="1">
        <f t="shared" si="6"/>
        <v>-0.8660254037844386</v>
      </c>
    </row>
    <row r="10" spans="1:8" x14ac:dyDescent="0.35">
      <c r="A10" s="3">
        <v>120</v>
      </c>
      <c r="B10" s="3">
        <f t="shared" si="0"/>
        <v>2.0943951023931953</v>
      </c>
      <c r="C10" s="3">
        <f t="shared" si="1"/>
        <v>-2.0000000000000009</v>
      </c>
      <c r="D10" s="3">
        <f t="shared" si="2"/>
        <v>1.7320508075688774</v>
      </c>
      <c r="E10" s="3">
        <f t="shared" si="3"/>
        <v>-2.0000000000000009</v>
      </c>
      <c r="F10" s="3">
        <f t="shared" si="4"/>
        <v>-0.49999999999999978</v>
      </c>
      <c r="G10" s="1">
        <f t="shared" si="5"/>
        <v>-0.86602540378443837</v>
      </c>
      <c r="H10" s="1">
        <f t="shared" si="6"/>
        <v>-0.50000000000000044</v>
      </c>
    </row>
    <row r="11" spans="1:8" x14ac:dyDescent="0.35">
      <c r="A11" s="3">
        <v>135</v>
      </c>
      <c r="B11" s="3">
        <f t="shared" si="0"/>
        <v>2.3561944901923448</v>
      </c>
      <c r="C11" s="3">
        <f t="shared" si="1"/>
        <v>-1.4142135623730951</v>
      </c>
      <c r="D11" s="3">
        <f t="shared" si="2"/>
        <v>1.4142135623730951</v>
      </c>
      <c r="E11" s="3">
        <f t="shared" si="3"/>
        <v>-1.4142135623730951</v>
      </c>
      <c r="F11" s="3">
        <f t="shared" si="4"/>
        <v>-0.70710678118654746</v>
      </c>
      <c r="G11" s="1">
        <f t="shared" si="5"/>
        <v>-1</v>
      </c>
      <c r="H11" s="1">
        <f t="shared" si="6"/>
        <v>-1.83772268236293E-16</v>
      </c>
    </row>
    <row r="12" spans="1:8" x14ac:dyDescent="0.35">
      <c r="A12" s="3">
        <v>150</v>
      </c>
      <c r="B12" s="3">
        <f t="shared" si="0"/>
        <v>2.6179938779914944</v>
      </c>
      <c r="C12" s="3">
        <f t="shared" si="1"/>
        <v>-1.1547005383792515</v>
      </c>
      <c r="D12" s="3">
        <f t="shared" si="2"/>
        <v>0.99999999999999989</v>
      </c>
      <c r="E12" s="3">
        <f t="shared" si="3"/>
        <v>-1.1547005383792515</v>
      </c>
      <c r="F12" s="3">
        <f t="shared" si="4"/>
        <v>-0.86602540378443871</v>
      </c>
      <c r="G12" s="1">
        <f t="shared" si="5"/>
        <v>-0.8660254037844386</v>
      </c>
      <c r="H12" s="1">
        <f t="shared" si="6"/>
        <v>0.50000000000000011</v>
      </c>
    </row>
    <row r="13" spans="1:8" x14ac:dyDescent="0.35">
      <c r="A13" s="3">
        <v>165</v>
      </c>
      <c r="B13" s="3">
        <f t="shared" si="0"/>
        <v>2.8797932657906435</v>
      </c>
      <c r="C13" s="3">
        <f t="shared" si="1"/>
        <v>-1.0352761804100832</v>
      </c>
      <c r="D13" s="3">
        <f t="shared" si="2"/>
        <v>0.51763809020504203</v>
      </c>
      <c r="E13" s="3">
        <f t="shared" si="3"/>
        <v>-1.0352761804100832</v>
      </c>
      <c r="F13" s="3">
        <f t="shared" si="4"/>
        <v>-0.9659258262890682</v>
      </c>
      <c r="G13" s="1">
        <f t="shared" si="5"/>
        <v>-0.50000000000000044</v>
      </c>
      <c r="H13" s="1">
        <f t="shared" si="6"/>
        <v>0.86602540378443837</v>
      </c>
    </row>
    <row r="14" spans="1:8" x14ac:dyDescent="0.35">
      <c r="A14" s="3">
        <v>180</v>
      </c>
      <c r="B14" s="3">
        <f t="shared" si="0"/>
        <v>3.1415926535897931</v>
      </c>
      <c r="C14" s="3">
        <f t="shared" si="1"/>
        <v>-1</v>
      </c>
      <c r="D14" s="3">
        <f t="shared" si="2"/>
        <v>2.45029690981724E-16</v>
      </c>
      <c r="E14" s="3">
        <f t="shared" si="3"/>
        <v>-1</v>
      </c>
      <c r="F14" s="3">
        <f t="shared" si="4"/>
        <v>-1</v>
      </c>
      <c r="G14" s="1">
        <f t="shared" si="5"/>
        <v>-2.45029690981724E-16</v>
      </c>
      <c r="H14" s="1">
        <f t="shared" si="6"/>
        <v>1</v>
      </c>
    </row>
    <row r="15" spans="1:8" x14ac:dyDescent="0.35">
      <c r="A15" s="3">
        <v>195</v>
      </c>
      <c r="B15" s="3">
        <f t="shared" si="0"/>
        <v>3.4033920413889427</v>
      </c>
      <c r="C15" s="3">
        <f t="shared" si="1"/>
        <v>-1.035276180410083</v>
      </c>
      <c r="D15" s="3">
        <f t="shared" si="2"/>
        <v>-0.51763809020504159</v>
      </c>
      <c r="E15" s="3">
        <f t="shared" si="3"/>
        <v>-1.035276180410083</v>
      </c>
      <c r="F15" s="3">
        <f t="shared" si="4"/>
        <v>-0.96592582628906831</v>
      </c>
      <c r="G15" s="1">
        <f t="shared" si="5"/>
        <v>0.5</v>
      </c>
      <c r="H15" s="1">
        <f t="shared" si="6"/>
        <v>0.8660254037844386</v>
      </c>
    </row>
    <row r="16" spans="1:8" x14ac:dyDescent="0.35">
      <c r="A16" s="3">
        <v>210</v>
      </c>
      <c r="B16" s="3">
        <f t="shared" si="0"/>
        <v>3.6651914291880923</v>
      </c>
      <c r="C16" s="3">
        <f t="shared" si="1"/>
        <v>-1.1547005383792517</v>
      </c>
      <c r="D16" s="3">
        <f t="shared" si="2"/>
        <v>-1.0000000000000002</v>
      </c>
      <c r="E16" s="3">
        <f t="shared" si="3"/>
        <v>-1.1547005383792517</v>
      </c>
      <c r="F16" s="3">
        <f t="shared" si="4"/>
        <v>-0.8660254037844386</v>
      </c>
      <c r="G16" s="1">
        <f t="shared" si="5"/>
        <v>0.86602540378443882</v>
      </c>
      <c r="H16" s="1">
        <f t="shared" si="6"/>
        <v>0.49999999999999972</v>
      </c>
    </row>
    <row r="17" spans="1:8" x14ac:dyDescent="0.35">
      <c r="A17" s="3">
        <v>225</v>
      </c>
      <c r="B17" s="3">
        <f t="shared" si="0"/>
        <v>3.9269908169872414</v>
      </c>
      <c r="C17" s="3">
        <f t="shared" si="1"/>
        <v>-1.4142135623730947</v>
      </c>
      <c r="D17" s="3">
        <f t="shared" si="2"/>
        <v>-1.4142135623730949</v>
      </c>
      <c r="E17" s="3">
        <f t="shared" si="3"/>
        <v>-1.4142135623730947</v>
      </c>
      <c r="F17" s="3">
        <f t="shared" si="4"/>
        <v>-0.70710678118654768</v>
      </c>
      <c r="G17" s="1">
        <f t="shared" si="5"/>
        <v>1</v>
      </c>
      <c r="H17" s="1">
        <f t="shared" si="6"/>
        <v>3.06287113727155E-16</v>
      </c>
    </row>
    <row r="18" spans="1:8" x14ac:dyDescent="0.35">
      <c r="A18" s="3">
        <v>240</v>
      </c>
      <c r="B18" s="3">
        <f t="shared" si="0"/>
        <v>4.1887902047863905</v>
      </c>
      <c r="C18" s="3">
        <f t="shared" si="1"/>
        <v>-1.9999999999999982</v>
      </c>
      <c r="D18" s="3">
        <f t="shared" si="2"/>
        <v>-1.7320508075688767</v>
      </c>
      <c r="E18" s="3">
        <f t="shared" si="3"/>
        <v>-1.9999999999999982</v>
      </c>
      <c r="F18" s="3">
        <f t="shared" si="4"/>
        <v>-0.50000000000000044</v>
      </c>
      <c r="G18" s="1">
        <f t="shared" si="5"/>
        <v>0.86602540378443915</v>
      </c>
      <c r="H18" s="1">
        <f t="shared" si="6"/>
        <v>-0.49999999999999922</v>
      </c>
    </row>
    <row r="19" spans="1:8" x14ac:dyDescent="0.35">
      <c r="A19" s="3">
        <v>255</v>
      </c>
      <c r="B19" s="3">
        <f t="shared" si="0"/>
        <v>4.4505895925855405</v>
      </c>
      <c r="C19" s="3">
        <f t="shared" si="1"/>
        <v>-3.863703305156275</v>
      </c>
      <c r="D19" s="3">
        <f t="shared" si="2"/>
        <v>-1.9318516525781366</v>
      </c>
      <c r="E19" s="3">
        <f t="shared" si="3"/>
        <v>-3.863703305156275</v>
      </c>
      <c r="F19" s="3">
        <f t="shared" si="4"/>
        <v>-0.25881904510252063</v>
      </c>
      <c r="G19" s="1">
        <f t="shared" si="5"/>
        <v>0.49999999999999978</v>
      </c>
      <c r="H19" s="1">
        <f t="shared" si="6"/>
        <v>-0.86602540378443882</v>
      </c>
    </row>
    <row r="20" spans="1:8" x14ac:dyDescent="0.35">
      <c r="A20" s="7">
        <v>270</v>
      </c>
      <c r="B20" s="7">
        <f t="shared" si="0"/>
        <v>4.7123889803846897</v>
      </c>
      <c r="C20" s="7">
        <f t="shared" si="1"/>
        <v>-5441517425873024</v>
      </c>
      <c r="D20" s="7">
        <f t="shared" si="2"/>
        <v>-2</v>
      </c>
      <c r="E20" s="7">
        <f t="shared" si="3"/>
        <v>-5441517425873024</v>
      </c>
      <c r="F20" s="7">
        <f t="shared" si="4"/>
        <v>-1.83772268236293E-16</v>
      </c>
      <c r="G20" s="1">
        <f t="shared" si="5"/>
        <v>3.67544536472586E-16</v>
      </c>
      <c r="H20" s="1">
        <f t="shared" si="6"/>
        <v>-1</v>
      </c>
    </row>
    <row r="21" spans="1:8" x14ac:dyDescent="0.35">
      <c r="A21" s="8">
        <v>285</v>
      </c>
      <c r="B21" s="8">
        <f t="shared" si="0"/>
        <v>4.9741883681838388</v>
      </c>
      <c r="C21" s="8">
        <f t="shared" si="1"/>
        <v>3.8637033051562799</v>
      </c>
      <c r="D21" s="8">
        <f t="shared" si="2"/>
        <v>-1.9318516525781368</v>
      </c>
      <c r="E21" s="8">
        <f t="shared" si="3"/>
        <v>3.8637033051562799</v>
      </c>
      <c r="F21" s="8">
        <f t="shared" si="4"/>
        <v>0.2588190451025203</v>
      </c>
      <c r="G21" s="1">
        <f t="shared" si="5"/>
        <v>-0.49999999999999917</v>
      </c>
      <c r="H21" s="1">
        <f t="shared" si="6"/>
        <v>-0.86602540378443915</v>
      </c>
    </row>
    <row r="22" spans="1:8" x14ac:dyDescent="0.35">
      <c r="A22" s="3">
        <v>300</v>
      </c>
      <c r="B22" s="3">
        <f t="shared" si="0"/>
        <v>5.2359877559829888</v>
      </c>
      <c r="C22" s="3">
        <f t="shared" si="1"/>
        <v>1.9999999999999996</v>
      </c>
      <c r="D22" s="3">
        <f t="shared" si="2"/>
        <v>-1.7320508075688772</v>
      </c>
      <c r="E22" s="3">
        <f t="shared" si="3"/>
        <v>1.9999999999999996</v>
      </c>
      <c r="F22" s="3">
        <f t="shared" si="4"/>
        <v>0.50000000000000011</v>
      </c>
      <c r="G22" s="1">
        <f t="shared" si="5"/>
        <v>-0.86602540378443871</v>
      </c>
      <c r="H22" s="1">
        <f t="shared" si="6"/>
        <v>-0.49999999999999983</v>
      </c>
    </row>
    <row r="23" spans="1:8" x14ac:dyDescent="0.35">
      <c r="A23" s="3">
        <v>315</v>
      </c>
      <c r="B23" s="3">
        <f t="shared" si="0"/>
        <v>5.497787143782138</v>
      </c>
      <c r="C23" s="3">
        <f t="shared" si="1"/>
        <v>1.4142135623730954</v>
      </c>
      <c r="D23" s="3">
        <f t="shared" si="2"/>
        <v>-1.4142135623730954</v>
      </c>
      <c r="E23" s="3">
        <f t="shared" si="3"/>
        <v>1.4142135623730954</v>
      </c>
      <c r="F23" s="3">
        <f t="shared" si="4"/>
        <v>0.70710678118654735</v>
      </c>
      <c r="G23" s="1">
        <f t="shared" si="5"/>
        <v>-1</v>
      </c>
      <c r="H23" s="1">
        <f t="shared" si="6"/>
        <v>-4.28801959218017E-16</v>
      </c>
    </row>
    <row r="24" spans="1:8" x14ac:dyDescent="0.35">
      <c r="A24" s="3">
        <v>330</v>
      </c>
      <c r="B24" s="3">
        <f t="shared" si="0"/>
        <v>5.7595865315812871</v>
      </c>
      <c r="C24" s="3">
        <f t="shared" si="1"/>
        <v>1.1547005383792519</v>
      </c>
      <c r="D24" s="3">
        <f t="shared" si="2"/>
        <v>-1.0000000000000009</v>
      </c>
      <c r="E24" s="3">
        <f t="shared" si="3"/>
        <v>1.1547005383792519</v>
      </c>
      <c r="F24" s="3">
        <f t="shared" si="4"/>
        <v>0.86602540378443837</v>
      </c>
      <c r="G24" s="1">
        <f t="shared" si="5"/>
        <v>-0.86602540378443915</v>
      </c>
      <c r="H24" s="1">
        <f t="shared" si="6"/>
        <v>0.49999999999999911</v>
      </c>
    </row>
    <row r="25" spans="1:8" x14ac:dyDescent="0.35">
      <c r="A25" s="3">
        <v>345</v>
      </c>
      <c r="B25" s="3">
        <f t="shared" si="0"/>
        <v>6.0213859193804371</v>
      </c>
      <c r="C25" s="3">
        <f t="shared" si="1"/>
        <v>1.035276180410083</v>
      </c>
      <c r="D25" s="3">
        <f t="shared" si="2"/>
        <v>-0.51763809020504137</v>
      </c>
      <c r="E25" s="3">
        <f t="shared" si="3"/>
        <v>1.035276180410083</v>
      </c>
      <c r="F25" s="3">
        <f t="shared" si="4"/>
        <v>0.96592582628906831</v>
      </c>
      <c r="G25" s="1">
        <f t="shared" si="5"/>
        <v>-0.49999999999999989</v>
      </c>
      <c r="H25" s="1">
        <f t="shared" si="6"/>
        <v>0.86602540378443871</v>
      </c>
    </row>
    <row r="26" spans="1:8" x14ac:dyDescent="0.35">
      <c r="A26" s="3">
        <v>360</v>
      </c>
      <c r="B26" s="3">
        <f t="shared" si="0"/>
        <v>6.2831853071795862</v>
      </c>
      <c r="C26" s="3">
        <f t="shared" si="1"/>
        <v>1</v>
      </c>
      <c r="D26" s="3">
        <f t="shared" si="2"/>
        <v>-4.90059381963448E-16</v>
      </c>
      <c r="E26" s="3">
        <f t="shared" si="3"/>
        <v>1</v>
      </c>
      <c r="F26" s="3">
        <f t="shared" si="4"/>
        <v>1</v>
      </c>
      <c r="G26" s="1">
        <f t="shared" si="5"/>
        <v>-4.90059381963448E-16</v>
      </c>
      <c r="H26" s="1">
        <f t="shared" si="6"/>
        <v>1</v>
      </c>
    </row>
    <row r="27" spans="1:8" x14ac:dyDescent="0.35">
      <c r="A27" s="3">
        <v>375</v>
      </c>
      <c r="B27" s="3">
        <f t="shared" si="0"/>
        <v>6.5449846949787354</v>
      </c>
      <c r="C27" s="3">
        <f t="shared" si="1"/>
        <v>1.035276180410083</v>
      </c>
      <c r="D27" s="3">
        <f t="shared" si="2"/>
        <v>0.51763809020504048</v>
      </c>
      <c r="E27" s="3">
        <f t="shared" si="3"/>
        <v>1.035276180410083</v>
      </c>
      <c r="F27" s="3">
        <f t="shared" si="4"/>
        <v>0.96592582628906842</v>
      </c>
      <c r="G27" s="1">
        <f t="shared" si="5"/>
        <v>0.49999999999999906</v>
      </c>
      <c r="H27" s="1">
        <f t="shared" si="6"/>
        <v>0.86602540378443915</v>
      </c>
    </row>
    <row r="28" spans="1:8" x14ac:dyDescent="0.35">
      <c r="A28" s="3">
        <v>390</v>
      </c>
      <c r="B28" s="3">
        <f t="shared" si="0"/>
        <v>6.8067840827778854</v>
      </c>
      <c r="C28" s="3">
        <f t="shared" si="1"/>
        <v>1.1547005383792517</v>
      </c>
      <c r="D28" s="3">
        <f t="shared" si="2"/>
        <v>1</v>
      </c>
      <c r="E28" s="3">
        <f t="shared" si="3"/>
        <v>1.1547005383792517</v>
      </c>
      <c r="F28" s="3">
        <f t="shared" si="4"/>
        <v>0.8660254037844386</v>
      </c>
      <c r="G28" s="1">
        <f t="shared" si="5"/>
        <v>0.86602540378443871</v>
      </c>
      <c r="H28" s="1">
        <f t="shared" si="6"/>
        <v>0.49999999999999994</v>
      </c>
    </row>
    <row r="29" spans="1:8" x14ac:dyDescent="0.35">
      <c r="A29" s="3">
        <v>405</v>
      </c>
      <c r="B29" s="3">
        <f t="shared" si="0"/>
        <v>7.0685834705770345</v>
      </c>
      <c r="C29" s="3">
        <f t="shared" si="1"/>
        <v>1.4142135623730947</v>
      </c>
      <c r="D29" s="3">
        <f t="shared" si="2"/>
        <v>1.4142135623730947</v>
      </c>
      <c r="E29" s="3">
        <f t="shared" si="3"/>
        <v>1.4142135623730947</v>
      </c>
      <c r="F29" s="3">
        <f t="shared" si="4"/>
        <v>0.70710678118654768</v>
      </c>
      <c r="G29" s="1">
        <f t="shared" si="5"/>
        <v>1</v>
      </c>
      <c r="H29" s="1">
        <f t="shared" si="6"/>
        <v>5.51316804708879E-16</v>
      </c>
    </row>
    <row r="30" spans="1:8" x14ac:dyDescent="0.35">
      <c r="A30" s="3">
        <v>420</v>
      </c>
      <c r="B30" s="3">
        <f t="shared" si="0"/>
        <v>7.3303828583761845</v>
      </c>
      <c r="C30" s="3">
        <f t="shared" si="1"/>
        <v>2.0000000000000009</v>
      </c>
      <c r="D30" s="3">
        <f t="shared" si="2"/>
        <v>1.7320508075688776</v>
      </c>
      <c r="E30" s="3">
        <f t="shared" si="3"/>
        <v>2.0000000000000009</v>
      </c>
      <c r="F30" s="3">
        <f t="shared" si="4"/>
        <v>0.49999999999999972</v>
      </c>
      <c r="G30" s="1">
        <f t="shared" si="5"/>
        <v>0.86602540378443837</v>
      </c>
      <c r="H30" s="1">
        <f t="shared" si="6"/>
        <v>-0.50000000000000056</v>
      </c>
    </row>
    <row r="31" spans="1:8" x14ac:dyDescent="0.35">
      <c r="A31" s="3">
        <v>435</v>
      </c>
      <c r="B31" s="3">
        <f t="shared" si="0"/>
        <v>7.5921822461753337</v>
      </c>
      <c r="C31" s="3">
        <f t="shared" si="1"/>
        <v>3.8637033051562737</v>
      </c>
      <c r="D31" s="3">
        <f t="shared" si="2"/>
        <v>1.9318516525781366</v>
      </c>
      <c r="E31" s="3">
        <f t="shared" si="3"/>
        <v>3.8637033051562737</v>
      </c>
      <c r="F31" s="3">
        <f t="shared" si="4"/>
        <v>0.25881904510252074</v>
      </c>
      <c r="G31" s="1">
        <f t="shared" si="5"/>
        <v>0.5</v>
      </c>
      <c r="H31" s="1">
        <f t="shared" si="6"/>
        <v>-0.8660254037844386</v>
      </c>
    </row>
    <row r="32" spans="1:8" x14ac:dyDescent="0.35">
      <c r="A32" s="3">
        <v>450</v>
      </c>
      <c r="B32" s="3">
        <f t="shared" si="0"/>
        <v>7.8539816339744828</v>
      </c>
      <c r="C32" s="3">
        <f t="shared" si="1"/>
        <v>3264910455523814.5</v>
      </c>
      <c r="D32" s="3">
        <f t="shared" si="2"/>
        <v>2</v>
      </c>
      <c r="E32" s="3">
        <f t="shared" si="3"/>
        <v>3264910455523814.5</v>
      </c>
      <c r="F32" s="3">
        <f t="shared" si="4"/>
        <v>3.06287113727155E-16</v>
      </c>
      <c r="G32" s="1">
        <f t="shared" si="5"/>
        <v>6.1257422745431001E-16</v>
      </c>
      <c r="H32" s="1">
        <f t="shared" si="6"/>
        <v>-1</v>
      </c>
    </row>
    <row r="33" spans="1:8" x14ac:dyDescent="0.35">
      <c r="A33" s="3">
        <v>465</v>
      </c>
      <c r="B33" s="3">
        <f t="shared" si="0"/>
        <v>8.1157810217736319</v>
      </c>
      <c r="C33" s="3">
        <f t="shared" si="1"/>
        <v>-3.8637033051562817</v>
      </c>
      <c r="D33" s="3">
        <f t="shared" si="2"/>
        <v>1.9318516525781368</v>
      </c>
      <c r="E33" s="3">
        <f t="shared" si="3"/>
        <v>-3.8637033051562817</v>
      </c>
      <c r="F33" s="3">
        <f t="shared" si="4"/>
        <v>-0.25881904510252018</v>
      </c>
      <c r="G33" s="1">
        <f t="shared" si="5"/>
        <v>-0.49999999999999895</v>
      </c>
      <c r="H33" s="1">
        <f t="shared" si="6"/>
        <v>-0.86602540378443926</v>
      </c>
    </row>
    <row r="34" spans="1:8" x14ac:dyDescent="0.35">
      <c r="A34" s="3">
        <v>480</v>
      </c>
      <c r="B34" s="3">
        <f t="shared" si="0"/>
        <v>8.3775804095727811</v>
      </c>
      <c r="C34" s="3">
        <f t="shared" si="1"/>
        <v>-2.0000000000000031</v>
      </c>
      <c r="D34" s="3">
        <f t="shared" si="2"/>
        <v>1.7320508075688783</v>
      </c>
      <c r="E34" s="3">
        <f t="shared" si="3"/>
        <v>-2.0000000000000031</v>
      </c>
      <c r="F34" s="3">
        <f t="shared" si="4"/>
        <v>-0.49999999999999922</v>
      </c>
      <c r="G34" s="1">
        <f t="shared" si="5"/>
        <v>-0.86602540378443771</v>
      </c>
      <c r="H34" s="1">
        <f t="shared" si="6"/>
        <v>-0.50000000000000155</v>
      </c>
    </row>
    <row r="35" spans="1:8" x14ac:dyDescent="0.35">
      <c r="A35" s="3">
        <v>495</v>
      </c>
      <c r="B35" s="3">
        <f t="shared" si="0"/>
        <v>8.639379797371932</v>
      </c>
      <c r="C35" s="3">
        <f t="shared" si="1"/>
        <v>-1.4142135623730943</v>
      </c>
      <c r="D35" s="3">
        <f t="shared" si="2"/>
        <v>1.4142135623730943</v>
      </c>
      <c r="E35" s="3">
        <f t="shared" si="3"/>
        <v>-1.4142135623730943</v>
      </c>
      <c r="F35" s="3">
        <f t="shared" si="4"/>
        <v>-0.70710678118654791</v>
      </c>
      <c r="G35" s="1">
        <f t="shared" si="5"/>
        <v>-1</v>
      </c>
      <c r="H35" s="1">
        <f t="shared" si="6"/>
        <v>1.1025251892005095E-15</v>
      </c>
    </row>
    <row r="36" spans="1:8" x14ac:dyDescent="0.35">
      <c r="A36" s="3">
        <v>510</v>
      </c>
      <c r="B36" s="3">
        <f t="shared" si="0"/>
        <v>8.9011791851710811</v>
      </c>
      <c r="C36" s="3">
        <f t="shared" si="1"/>
        <v>-1.1547005383792512</v>
      </c>
      <c r="D36" s="3">
        <f t="shared" si="2"/>
        <v>0.99999999999999956</v>
      </c>
      <c r="E36" s="3">
        <f t="shared" si="3"/>
        <v>-1.1547005383792512</v>
      </c>
      <c r="F36" s="3">
        <f t="shared" si="4"/>
        <v>-0.86602540378443882</v>
      </c>
      <c r="G36" s="1">
        <f t="shared" si="5"/>
        <v>-0.86602540378443837</v>
      </c>
      <c r="H36" s="1">
        <f t="shared" si="6"/>
        <v>0.50000000000000044</v>
      </c>
    </row>
    <row r="37" spans="1:8" x14ac:dyDescent="0.35">
      <c r="A37" s="3">
        <v>525</v>
      </c>
      <c r="B37" s="3">
        <f t="shared" si="0"/>
        <v>9.1629785729702302</v>
      </c>
      <c r="C37" s="3">
        <f t="shared" si="1"/>
        <v>-1.035276180410083</v>
      </c>
      <c r="D37" s="3">
        <f t="shared" si="2"/>
        <v>0.51763809020504159</v>
      </c>
      <c r="E37" s="3">
        <f t="shared" si="3"/>
        <v>-1.035276180410083</v>
      </c>
      <c r="F37" s="3">
        <f t="shared" si="4"/>
        <v>-0.96592582628906831</v>
      </c>
      <c r="G37" s="1">
        <f t="shared" si="5"/>
        <v>-0.50000000000000011</v>
      </c>
      <c r="H37" s="1">
        <f t="shared" si="6"/>
        <v>0.8660254037844386</v>
      </c>
    </row>
    <row r="38" spans="1:8" x14ac:dyDescent="0.35">
      <c r="A38" s="3">
        <v>540</v>
      </c>
      <c r="B38" s="3">
        <f t="shared" si="0"/>
        <v>9.4247779607693793</v>
      </c>
      <c r="C38" s="3">
        <f t="shared" si="1"/>
        <v>-1</v>
      </c>
      <c r="D38" s="3">
        <f t="shared" si="2"/>
        <v>7.3508907294517201E-16</v>
      </c>
      <c r="E38" s="3">
        <f t="shared" si="3"/>
        <v>-1</v>
      </c>
      <c r="F38" s="3">
        <f t="shared" si="4"/>
        <v>-1</v>
      </c>
      <c r="G38" s="1">
        <f t="shared" si="5"/>
        <v>-7.3508907294517201E-16</v>
      </c>
      <c r="H38" s="1">
        <f t="shared" si="6"/>
        <v>1</v>
      </c>
    </row>
    <row r="39" spans="1:8" x14ac:dyDescent="0.35">
      <c r="A39" s="3">
        <v>555</v>
      </c>
      <c r="B39" s="3">
        <f t="shared" si="0"/>
        <v>9.6865773485685285</v>
      </c>
      <c r="C39" s="3">
        <f t="shared" si="1"/>
        <v>-1.035276180410083</v>
      </c>
      <c r="D39" s="3">
        <f t="shared" si="2"/>
        <v>-0.51763809020504026</v>
      </c>
      <c r="E39" s="3">
        <f t="shared" si="3"/>
        <v>-1.035276180410083</v>
      </c>
      <c r="F39" s="3">
        <f t="shared" si="4"/>
        <v>-0.96592582628906842</v>
      </c>
      <c r="G39" s="1">
        <f t="shared" si="5"/>
        <v>0.49999999999999883</v>
      </c>
      <c r="H39" s="1">
        <f t="shared" si="6"/>
        <v>0.86602540378443937</v>
      </c>
    </row>
    <row r="40" spans="1:8" x14ac:dyDescent="0.35">
      <c r="A40" s="3">
        <v>570</v>
      </c>
      <c r="B40" s="3">
        <f t="shared" si="0"/>
        <v>9.9483767363676776</v>
      </c>
      <c r="C40" s="3">
        <f t="shared" si="1"/>
        <v>-1.1547005383792508</v>
      </c>
      <c r="D40" s="3">
        <f t="shared" si="2"/>
        <v>-0.99999999999999833</v>
      </c>
      <c r="E40" s="3">
        <f t="shared" si="3"/>
        <v>-1.1547005383792508</v>
      </c>
      <c r="F40" s="3">
        <f t="shared" si="4"/>
        <v>-0.86602540378443915</v>
      </c>
      <c r="G40" s="1">
        <f t="shared" si="5"/>
        <v>0.86602540378443771</v>
      </c>
      <c r="H40" s="1">
        <f t="shared" si="6"/>
        <v>0.50000000000000167</v>
      </c>
    </row>
    <row r="41" spans="1:8" x14ac:dyDescent="0.35">
      <c r="A41" s="3">
        <v>585</v>
      </c>
      <c r="B41" s="3">
        <f t="shared" si="0"/>
        <v>10.210176124166829</v>
      </c>
      <c r="C41" s="3">
        <f t="shared" si="1"/>
        <v>-1.4142135623730958</v>
      </c>
      <c r="D41" s="3">
        <f t="shared" si="2"/>
        <v>-1.4142135623730958</v>
      </c>
      <c r="E41" s="3">
        <f t="shared" si="3"/>
        <v>-1.4142135623730958</v>
      </c>
      <c r="F41" s="3">
        <f t="shared" si="4"/>
        <v>-0.70710678118654713</v>
      </c>
      <c r="G41" s="1">
        <f t="shared" si="5"/>
        <v>1</v>
      </c>
      <c r="H41" s="1">
        <f t="shared" si="6"/>
        <v>-9.8001034370964746E-16</v>
      </c>
    </row>
    <row r="42" spans="1:8" x14ac:dyDescent="0.35">
      <c r="A42" s="3">
        <v>600</v>
      </c>
      <c r="B42" s="3">
        <f t="shared" si="0"/>
        <v>10.471975511965978</v>
      </c>
      <c r="C42" s="3">
        <f t="shared" si="1"/>
        <v>-2.0000000000000009</v>
      </c>
      <c r="D42" s="3">
        <f t="shared" si="2"/>
        <v>-1.7320508075688774</v>
      </c>
      <c r="E42" s="3">
        <f t="shared" si="3"/>
        <v>-2.0000000000000009</v>
      </c>
      <c r="F42" s="3">
        <f t="shared" si="4"/>
        <v>-0.49999999999999983</v>
      </c>
      <c r="G42" s="1">
        <f t="shared" si="5"/>
        <v>0.86602540378443849</v>
      </c>
      <c r="H42" s="1">
        <f t="shared" si="6"/>
        <v>-0.50000000000000033</v>
      </c>
    </row>
    <row r="43" spans="1:8" x14ac:dyDescent="0.35">
      <c r="A43" s="3">
        <v>615</v>
      </c>
      <c r="B43" s="3">
        <f t="shared" si="0"/>
        <v>10.733774899765127</v>
      </c>
      <c r="C43" s="3">
        <f t="shared" si="1"/>
        <v>-3.863703305156271</v>
      </c>
      <c r="D43" s="3">
        <f t="shared" si="2"/>
        <v>-1.9318516525781364</v>
      </c>
      <c r="E43" s="3">
        <f t="shared" si="3"/>
        <v>-3.863703305156271</v>
      </c>
      <c r="F43" s="3">
        <f t="shared" si="4"/>
        <v>-0.25881904510252091</v>
      </c>
      <c r="G43" s="1">
        <f t="shared" si="5"/>
        <v>0.50000000000000022</v>
      </c>
      <c r="H43" s="1">
        <f t="shared" si="6"/>
        <v>-0.86602540378443849</v>
      </c>
    </row>
    <row r="44" spans="1:8" x14ac:dyDescent="0.35">
      <c r="A44" s="3">
        <v>630</v>
      </c>
      <c r="B44" s="3">
        <f t="shared" si="0"/>
        <v>10.995574287564276</v>
      </c>
      <c r="C44" s="3">
        <f t="shared" si="1"/>
        <v>-2332078896802724.5</v>
      </c>
      <c r="D44" s="3">
        <f t="shared" si="2"/>
        <v>-2</v>
      </c>
      <c r="E44" s="3">
        <f t="shared" si="3"/>
        <v>-2332078896802724.5</v>
      </c>
      <c r="F44" s="3">
        <f t="shared" si="4"/>
        <v>-4.28801959218017E-16</v>
      </c>
      <c r="G44" s="1">
        <f t="shared" si="5"/>
        <v>8.5760391843603401E-16</v>
      </c>
      <c r="H44" s="1">
        <f t="shared" si="6"/>
        <v>-1</v>
      </c>
    </row>
    <row r="45" spans="1:8" x14ac:dyDescent="0.35">
      <c r="A45" s="3">
        <v>645</v>
      </c>
      <c r="B45" s="3">
        <f t="shared" si="0"/>
        <v>11.257373675363425</v>
      </c>
      <c r="C45" s="3">
        <f t="shared" si="1"/>
        <v>3.8637033051562835</v>
      </c>
      <c r="D45" s="3">
        <f t="shared" si="2"/>
        <v>-1.9318516525781368</v>
      </c>
      <c r="E45" s="3">
        <f t="shared" si="3"/>
        <v>3.8637033051562835</v>
      </c>
      <c r="F45" s="3">
        <f t="shared" si="4"/>
        <v>0.25881904510252007</v>
      </c>
      <c r="G45" s="1">
        <f t="shared" si="5"/>
        <v>-0.49999999999999872</v>
      </c>
      <c r="H45" s="1">
        <f t="shared" si="6"/>
        <v>-0.86602540378443937</v>
      </c>
    </row>
    <row r="46" spans="1:8" x14ac:dyDescent="0.35">
      <c r="A46" s="3">
        <v>660</v>
      </c>
      <c r="B46" s="3">
        <f t="shared" si="0"/>
        <v>11.519173063162574</v>
      </c>
      <c r="C46" s="3">
        <f t="shared" si="1"/>
        <v>2.0000000000000036</v>
      </c>
      <c r="D46" s="3">
        <f t="shared" si="2"/>
        <v>-1.7320508075688783</v>
      </c>
      <c r="E46" s="3">
        <f t="shared" si="3"/>
        <v>2.0000000000000036</v>
      </c>
      <c r="F46" s="3">
        <f t="shared" si="4"/>
        <v>0.49999999999999911</v>
      </c>
      <c r="G46" s="1">
        <f t="shared" si="5"/>
        <v>-0.8660254037844376</v>
      </c>
      <c r="H46" s="1">
        <f t="shared" si="6"/>
        <v>-0.50000000000000178</v>
      </c>
    </row>
    <row r="47" spans="1:8" x14ac:dyDescent="0.35">
      <c r="A47" s="3">
        <v>675</v>
      </c>
      <c r="B47" s="3">
        <f t="shared" si="0"/>
        <v>11.780972450961725</v>
      </c>
      <c r="C47" s="3">
        <f t="shared" si="1"/>
        <v>1.4142135623730945</v>
      </c>
      <c r="D47" s="3">
        <f t="shared" si="2"/>
        <v>-1.4142135623730945</v>
      </c>
      <c r="E47" s="3">
        <f t="shared" si="3"/>
        <v>1.4142135623730945</v>
      </c>
      <c r="F47" s="3">
        <f t="shared" si="4"/>
        <v>0.70710678118654779</v>
      </c>
      <c r="G47" s="1">
        <f t="shared" si="5"/>
        <v>-1</v>
      </c>
      <c r="H47" s="1">
        <f t="shared" si="6"/>
        <v>8.5749549821878546E-16</v>
      </c>
    </row>
    <row r="48" spans="1:8" x14ac:dyDescent="0.35">
      <c r="A48" s="3">
        <v>690</v>
      </c>
      <c r="B48" s="3">
        <f t="shared" si="0"/>
        <v>12.042771838760874</v>
      </c>
      <c r="C48" s="3">
        <f t="shared" si="1"/>
        <v>1.1547005383792515</v>
      </c>
      <c r="D48" s="3">
        <f t="shared" si="2"/>
        <v>-0.99999999999999978</v>
      </c>
      <c r="E48" s="3">
        <f t="shared" si="3"/>
        <v>1.1547005383792515</v>
      </c>
      <c r="F48" s="3">
        <f t="shared" si="4"/>
        <v>0.86602540378443871</v>
      </c>
      <c r="G48" s="1">
        <f t="shared" si="5"/>
        <v>-0.86602540378443849</v>
      </c>
      <c r="H48" s="1">
        <f t="shared" si="6"/>
        <v>0.50000000000000022</v>
      </c>
    </row>
    <row r="49" spans="1:8" x14ac:dyDescent="0.35">
      <c r="A49" s="3">
        <v>705</v>
      </c>
      <c r="B49" s="3">
        <f t="shared" si="0"/>
        <v>12.304571226560023</v>
      </c>
      <c r="C49" s="3">
        <f t="shared" si="1"/>
        <v>1.0352761804100832</v>
      </c>
      <c r="D49" s="3">
        <f t="shared" si="2"/>
        <v>-0.51763809020504192</v>
      </c>
      <c r="E49" s="3">
        <f t="shared" si="3"/>
        <v>1.0352761804100832</v>
      </c>
      <c r="F49" s="3">
        <f t="shared" si="4"/>
        <v>0.9659258262890682</v>
      </c>
      <c r="G49" s="1">
        <f t="shared" si="5"/>
        <v>-0.50000000000000033</v>
      </c>
      <c r="H49" s="1">
        <f t="shared" si="6"/>
        <v>0.86602540378443849</v>
      </c>
    </row>
    <row r="50" spans="1:8" x14ac:dyDescent="0.35">
      <c r="A50" s="3">
        <v>720</v>
      </c>
      <c r="B50" s="3">
        <f t="shared" si="0"/>
        <v>12.566370614359172</v>
      </c>
      <c r="C50" s="3">
        <f t="shared" si="1"/>
        <v>1</v>
      </c>
      <c r="D50" s="3">
        <f t="shared" si="2"/>
        <v>-9.8011876392689601E-16</v>
      </c>
      <c r="E50" s="3">
        <f t="shared" si="3"/>
        <v>1</v>
      </c>
      <c r="F50" s="3">
        <f t="shared" si="4"/>
        <v>1</v>
      </c>
      <c r="G50" s="1">
        <f t="shared" si="5"/>
        <v>-9.8011876392689601E-16</v>
      </c>
      <c r="H50" s="1">
        <f t="shared" si="6"/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50AB0-CEC0-48D0-87D9-4E4832B818E7}">
  <dimension ref="A1:H50"/>
  <sheetViews>
    <sheetView zoomScale="80" zoomScaleNormal="80" workbookViewId="0">
      <selection activeCell="J30" sqref="J30"/>
    </sheetView>
  </sheetViews>
  <sheetFormatPr defaultRowHeight="14.5" x14ac:dyDescent="0.35"/>
  <cols>
    <col min="1" max="2" width="8.7265625" style="3"/>
    <col min="3" max="3" width="0" style="3" hidden="1" customWidth="1"/>
    <col min="4" max="4" width="12.6328125" style="3" hidden="1" customWidth="1"/>
    <col min="5" max="5" width="12.6328125" style="3" bestFit="1" customWidth="1"/>
    <col min="6" max="6" width="13.36328125" style="3" bestFit="1" customWidth="1"/>
    <col min="7" max="7" width="6.90625" style="1" hidden="1" customWidth="1"/>
    <col min="8" max="8" width="20.1796875" style="1" hidden="1" customWidth="1"/>
  </cols>
  <sheetData>
    <row r="1" spans="1:8" x14ac:dyDescent="0.35">
      <c r="A1" s="3" t="s">
        <v>0</v>
      </c>
      <c r="B1" s="3" t="s">
        <v>1</v>
      </c>
      <c r="C1" s="3" t="s">
        <v>8</v>
      </c>
      <c r="D1" s="3" t="s">
        <v>4</v>
      </c>
      <c r="E1" s="3" t="s">
        <v>15</v>
      </c>
      <c r="F1" s="3" t="s">
        <v>16</v>
      </c>
    </row>
    <row r="2" spans="1:8" x14ac:dyDescent="0.35">
      <c r="A2" s="3">
        <v>0</v>
      </c>
      <c r="B2" s="3">
        <f>RADIANS(A2)</f>
        <v>0</v>
      </c>
      <c r="C2" s="3">
        <f>_xlfn.SEC(B2)</f>
        <v>1</v>
      </c>
      <c r="D2" s="3">
        <f>2*SIN(B2)</f>
        <v>0</v>
      </c>
      <c r="E2" s="3">
        <f>SIN(B2)</f>
        <v>0</v>
      </c>
      <c r="F2" s="3" t="e">
        <f>_xlfn.CSC(B2)</f>
        <v>#DIV/0!</v>
      </c>
      <c r="G2" s="1">
        <f>SIN(2*B2)</f>
        <v>0</v>
      </c>
      <c r="H2" s="1">
        <f>COS(2*B2)</f>
        <v>1</v>
      </c>
    </row>
    <row r="3" spans="1:8" x14ac:dyDescent="0.35">
      <c r="A3" s="3">
        <v>15</v>
      </c>
      <c r="B3" s="3">
        <f t="shared" ref="B3:B50" si="0">RADIANS(A3)</f>
        <v>0.26179938779914941</v>
      </c>
      <c r="C3" s="3">
        <f t="shared" ref="C3:C50" si="1">_xlfn.SEC(B3)</f>
        <v>1.035276180410083</v>
      </c>
      <c r="D3" s="3">
        <f t="shared" ref="D3:D50" si="2">2*SIN(B3)</f>
        <v>0.51763809020504148</v>
      </c>
      <c r="E3" s="3">
        <f t="shared" ref="E3:E50" si="3">SIN(B3)</f>
        <v>0.25881904510252074</v>
      </c>
      <c r="F3" s="3">
        <f t="shared" ref="F3:F50" si="4">_xlfn.CSC(B3)</f>
        <v>3.8637033051562737</v>
      </c>
      <c r="G3" s="1">
        <f t="shared" ref="G3:G50" si="5">SIN(2*B3)</f>
        <v>0.49999999999999994</v>
      </c>
      <c r="H3" s="1">
        <f t="shared" ref="H3:H50" si="6">COS(2*B3)</f>
        <v>0.86602540378443871</v>
      </c>
    </row>
    <row r="4" spans="1:8" x14ac:dyDescent="0.35">
      <c r="A4" s="3">
        <v>30</v>
      </c>
      <c r="B4" s="3">
        <f t="shared" si="0"/>
        <v>0.52359877559829882</v>
      </c>
      <c r="C4" s="3">
        <f t="shared" si="1"/>
        <v>1.1547005383792515</v>
      </c>
      <c r="D4" s="3">
        <f t="shared" si="2"/>
        <v>0.99999999999999989</v>
      </c>
      <c r="E4" s="3">
        <f t="shared" si="3"/>
        <v>0.49999999999999994</v>
      </c>
      <c r="F4" s="3">
        <f t="shared" si="4"/>
        <v>2</v>
      </c>
      <c r="G4" s="1">
        <f t="shared" si="5"/>
        <v>0.8660254037844386</v>
      </c>
      <c r="H4" s="1">
        <f t="shared" si="6"/>
        <v>0.50000000000000011</v>
      </c>
    </row>
    <row r="5" spans="1:8" x14ac:dyDescent="0.35">
      <c r="A5" s="3">
        <v>45</v>
      </c>
      <c r="B5" s="3">
        <f t="shared" si="0"/>
        <v>0.78539816339744828</v>
      </c>
      <c r="C5" s="3">
        <f t="shared" si="1"/>
        <v>1.4142135623730949</v>
      </c>
      <c r="D5" s="3">
        <f t="shared" si="2"/>
        <v>1.4142135623730949</v>
      </c>
      <c r="E5" s="3">
        <f t="shared" si="3"/>
        <v>0.70710678118654746</v>
      </c>
      <c r="F5" s="3">
        <f t="shared" si="4"/>
        <v>1.4142135623730951</v>
      </c>
      <c r="G5" s="1">
        <f t="shared" si="5"/>
        <v>1</v>
      </c>
      <c r="H5" s="1">
        <f t="shared" si="6"/>
        <v>6.1257422745431001E-17</v>
      </c>
    </row>
    <row r="6" spans="1:8" x14ac:dyDescent="0.35">
      <c r="A6" s="3">
        <v>60</v>
      </c>
      <c r="B6" s="3">
        <f t="shared" si="0"/>
        <v>1.0471975511965976</v>
      </c>
      <c r="C6" s="3">
        <f t="shared" si="1"/>
        <v>1.9999999999999996</v>
      </c>
      <c r="D6" s="3">
        <f t="shared" si="2"/>
        <v>1.7320508075688772</v>
      </c>
      <c r="E6" s="3">
        <f t="shared" si="3"/>
        <v>0.8660254037844386</v>
      </c>
      <c r="F6" s="3">
        <f t="shared" si="4"/>
        <v>1.1547005383792517</v>
      </c>
      <c r="G6" s="1">
        <f t="shared" si="5"/>
        <v>0.86602540378443871</v>
      </c>
      <c r="H6" s="1">
        <f t="shared" si="6"/>
        <v>-0.49999999999999978</v>
      </c>
    </row>
    <row r="7" spans="1:8" x14ac:dyDescent="0.35">
      <c r="A7" s="3">
        <v>75</v>
      </c>
      <c r="B7" s="3">
        <f t="shared" si="0"/>
        <v>1.3089969389957472</v>
      </c>
      <c r="C7" s="3">
        <f t="shared" si="1"/>
        <v>3.8637033051562737</v>
      </c>
      <c r="D7" s="3">
        <f t="shared" si="2"/>
        <v>1.9318516525781366</v>
      </c>
      <c r="E7" s="3">
        <f t="shared" si="3"/>
        <v>0.96592582628906831</v>
      </c>
      <c r="F7" s="3">
        <f t="shared" si="4"/>
        <v>1.035276180410083</v>
      </c>
      <c r="G7" s="1">
        <f t="shared" si="5"/>
        <v>0.49999999999999994</v>
      </c>
      <c r="H7" s="1">
        <f t="shared" si="6"/>
        <v>-0.86602540378443871</v>
      </c>
    </row>
    <row r="8" spans="1:8" x14ac:dyDescent="0.35">
      <c r="A8" s="9">
        <v>90</v>
      </c>
      <c r="B8" s="9">
        <f t="shared" si="0"/>
        <v>1.5707963267948966</v>
      </c>
      <c r="C8" s="9">
        <f t="shared" si="1"/>
        <v>1.6324552277619072E+16</v>
      </c>
      <c r="D8" s="9">
        <f t="shared" si="2"/>
        <v>2</v>
      </c>
      <c r="E8" s="9">
        <f t="shared" si="3"/>
        <v>1</v>
      </c>
      <c r="F8" s="9">
        <f t="shared" si="4"/>
        <v>1</v>
      </c>
      <c r="G8" s="1">
        <f t="shared" si="5"/>
        <v>1.22514845490862E-16</v>
      </c>
      <c r="H8" s="1">
        <f t="shared" si="6"/>
        <v>-1</v>
      </c>
    </row>
    <row r="9" spans="1:8" x14ac:dyDescent="0.35">
      <c r="A9" s="9">
        <v>105</v>
      </c>
      <c r="B9" s="9">
        <f t="shared" si="0"/>
        <v>1.8325957145940461</v>
      </c>
      <c r="C9" s="9">
        <f t="shared" si="1"/>
        <v>-3.8637033051562719</v>
      </c>
      <c r="D9" s="9">
        <f t="shared" si="2"/>
        <v>1.9318516525781366</v>
      </c>
      <c r="E9" s="9">
        <f t="shared" si="3"/>
        <v>0.96592582628906831</v>
      </c>
      <c r="F9" s="9">
        <f t="shared" si="4"/>
        <v>1.035276180410083</v>
      </c>
      <c r="G9" s="1">
        <f t="shared" si="5"/>
        <v>-0.50000000000000011</v>
      </c>
      <c r="H9" s="1">
        <f t="shared" si="6"/>
        <v>-0.8660254037844386</v>
      </c>
    </row>
    <row r="10" spans="1:8" x14ac:dyDescent="0.35">
      <c r="A10" s="3">
        <v>120</v>
      </c>
      <c r="B10" s="3">
        <f t="shared" si="0"/>
        <v>2.0943951023931953</v>
      </c>
      <c r="C10" s="3">
        <f t="shared" si="1"/>
        <v>-2.0000000000000009</v>
      </c>
      <c r="D10" s="3">
        <f t="shared" si="2"/>
        <v>1.7320508075688774</v>
      </c>
      <c r="E10" s="3">
        <f t="shared" si="3"/>
        <v>0.86602540378443871</v>
      </c>
      <c r="F10" s="3">
        <f t="shared" si="4"/>
        <v>1.1547005383792515</v>
      </c>
      <c r="G10" s="1">
        <f t="shared" si="5"/>
        <v>-0.86602540378443837</v>
      </c>
      <c r="H10" s="1">
        <f t="shared" si="6"/>
        <v>-0.50000000000000044</v>
      </c>
    </row>
    <row r="11" spans="1:8" x14ac:dyDescent="0.35">
      <c r="A11" s="3">
        <v>135</v>
      </c>
      <c r="B11" s="3">
        <f t="shared" si="0"/>
        <v>2.3561944901923448</v>
      </c>
      <c r="C11" s="3">
        <f t="shared" si="1"/>
        <v>-1.4142135623730951</v>
      </c>
      <c r="D11" s="3">
        <f t="shared" si="2"/>
        <v>1.4142135623730951</v>
      </c>
      <c r="E11" s="3">
        <f t="shared" si="3"/>
        <v>0.70710678118654757</v>
      </c>
      <c r="F11" s="3">
        <f t="shared" si="4"/>
        <v>1.4142135623730949</v>
      </c>
      <c r="G11" s="1">
        <f t="shared" si="5"/>
        <v>-1</v>
      </c>
      <c r="H11" s="1">
        <f t="shared" si="6"/>
        <v>-1.83772268236293E-16</v>
      </c>
    </row>
    <row r="12" spans="1:8" x14ac:dyDescent="0.35">
      <c r="A12" s="3">
        <v>150</v>
      </c>
      <c r="B12" s="3">
        <f t="shared" si="0"/>
        <v>2.6179938779914944</v>
      </c>
      <c r="C12" s="3">
        <f t="shared" si="1"/>
        <v>-1.1547005383792515</v>
      </c>
      <c r="D12" s="3">
        <f t="shared" si="2"/>
        <v>0.99999999999999989</v>
      </c>
      <c r="E12" s="3">
        <f t="shared" si="3"/>
        <v>0.49999999999999994</v>
      </c>
      <c r="F12" s="3">
        <f t="shared" si="4"/>
        <v>2</v>
      </c>
      <c r="G12" s="1">
        <f t="shared" si="5"/>
        <v>-0.8660254037844386</v>
      </c>
      <c r="H12" s="1">
        <f t="shared" si="6"/>
        <v>0.50000000000000011</v>
      </c>
    </row>
    <row r="13" spans="1:8" x14ac:dyDescent="0.35">
      <c r="A13" s="3">
        <v>165</v>
      </c>
      <c r="B13" s="3">
        <f t="shared" si="0"/>
        <v>2.8797932657906435</v>
      </c>
      <c r="C13" s="3">
        <f t="shared" si="1"/>
        <v>-1.0352761804100832</v>
      </c>
      <c r="D13" s="3">
        <f t="shared" si="2"/>
        <v>0.51763809020504203</v>
      </c>
      <c r="E13" s="3">
        <f t="shared" si="3"/>
        <v>0.25881904510252102</v>
      </c>
      <c r="F13" s="3">
        <f t="shared" si="4"/>
        <v>3.8637033051562693</v>
      </c>
      <c r="G13" s="1">
        <f t="shared" si="5"/>
        <v>-0.50000000000000044</v>
      </c>
      <c r="H13" s="1">
        <f t="shared" si="6"/>
        <v>0.86602540378443837</v>
      </c>
    </row>
    <row r="14" spans="1:8" x14ac:dyDescent="0.35">
      <c r="A14" s="10">
        <v>180</v>
      </c>
      <c r="B14" s="10">
        <f t="shared" si="0"/>
        <v>3.1415926535897931</v>
      </c>
      <c r="C14" s="10">
        <f t="shared" si="1"/>
        <v>-1</v>
      </c>
      <c r="D14" s="10">
        <f t="shared" si="2"/>
        <v>2.45029690981724E-16</v>
      </c>
      <c r="E14" s="10">
        <f t="shared" si="3"/>
        <v>1.22514845490862E-16</v>
      </c>
      <c r="F14" s="10">
        <f t="shared" si="4"/>
        <v>8162276138809536</v>
      </c>
      <c r="G14" s="1">
        <f t="shared" si="5"/>
        <v>-2.45029690981724E-16</v>
      </c>
      <c r="H14" s="1">
        <f t="shared" si="6"/>
        <v>1</v>
      </c>
    </row>
    <row r="15" spans="1:8" x14ac:dyDescent="0.35">
      <c r="A15" s="3">
        <v>195</v>
      </c>
      <c r="B15" s="3">
        <f t="shared" si="0"/>
        <v>3.4033920413889427</v>
      </c>
      <c r="C15" s="3">
        <f t="shared" si="1"/>
        <v>-1.035276180410083</v>
      </c>
      <c r="D15" s="3">
        <f t="shared" si="2"/>
        <v>-0.51763809020504159</v>
      </c>
      <c r="E15" s="3">
        <f t="shared" si="3"/>
        <v>-0.25881904510252079</v>
      </c>
      <c r="F15" s="3">
        <f t="shared" si="4"/>
        <v>-3.8637033051562728</v>
      </c>
      <c r="G15" s="1">
        <f t="shared" si="5"/>
        <v>0.5</v>
      </c>
      <c r="H15" s="1">
        <f t="shared" si="6"/>
        <v>0.8660254037844386</v>
      </c>
    </row>
    <row r="16" spans="1:8" x14ac:dyDescent="0.35">
      <c r="A16" s="3">
        <v>210</v>
      </c>
      <c r="B16" s="3">
        <f t="shared" si="0"/>
        <v>3.6651914291880923</v>
      </c>
      <c r="C16" s="3">
        <f t="shared" si="1"/>
        <v>-1.1547005383792517</v>
      </c>
      <c r="D16" s="3">
        <f t="shared" si="2"/>
        <v>-1.0000000000000002</v>
      </c>
      <c r="E16" s="3">
        <f t="shared" si="3"/>
        <v>-0.50000000000000011</v>
      </c>
      <c r="F16" s="3">
        <f t="shared" si="4"/>
        <v>-1.9999999999999996</v>
      </c>
      <c r="G16" s="1">
        <f t="shared" si="5"/>
        <v>0.86602540378443882</v>
      </c>
      <c r="H16" s="1">
        <f t="shared" si="6"/>
        <v>0.49999999999999972</v>
      </c>
    </row>
    <row r="17" spans="1:8" x14ac:dyDescent="0.35">
      <c r="A17" s="3">
        <v>225</v>
      </c>
      <c r="B17" s="3">
        <f t="shared" si="0"/>
        <v>3.9269908169872414</v>
      </c>
      <c r="C17" s="3">
        <f t="shared" si="1"/>
        <v>-1.4142135623730947</v>
      </c>
      <c r="D17" s="3">
        <f t="shared" si="2"/>
        <v>-1.4142135623730949</v>
      </c>
      <c r="E17" s="3">
        <f t="shared" si="3"/>
        <v>-0.70710678118654746</v>
      </c>
      <c r="F17" s="3">
        <f t="shared" si="4"/>
        <v>-1.4142135623730951</v>
      </c>
      <c r="G17" s="1">
        <f t="shared" si="5"/>
        <v>1</v>
      </c>
      <c r="H17" s="1">
        <f t="shared" si="6"/>
        <v>3.06287113727155E-16</v>
      </c>
    </row>
    <row r="18" spans="1:8" x14ac:dyDescent="0.35">
      <c r="A18" s="3">
        <v>240</v>
      </c>
      <c r="B18" s="3">
        <f t="shared" si="0"/>
        <v>4.1887902047863905</v>
      </c>
      <c r="C18" s="3">
        <f t="shared" si="1"/>
        <v>-1.9999999999999982</v>
      </c>
      <c r="D18" s="3">
        <f t="shared" si="2"/>
        <v>-1.7320508075688767</v>
      </c>
      <c r="E18" s="3">
        <f t="shared" si="3"/>
        <v>-0.86602540378443837</v>
      </c>
      <c r="F18" s="3">
        <f t="shared" si="4"/>
        <v>-1.1547005383792519</v>
      </c>
      <c r="G18" s="1">
        <f t="shared" si="5"/>
        <v>0.86602540378443915</v>
      </c>
      <c r="H18" s="1">
        <f t="shared" si="6"/>
        <v>-0.49999999999999922</v>
      </c>
    </row>
    <row r="19" spans="1:8" x14ac:dyDescent="0.35">
      <c r="A19" s="3">
        <v>255</v>
      </c>
      <c r="B19" s="3">
        <f t="shared" si="0"/>
        <v>4.4505895925855405</v>
      </c>
      <c r="C19" s="3">
        <f t="shared" si="1"/>
        <v>-3.863703305156275</v>
      </c>
      <c r="D19" s="3">
        <f t="shared" si="2"/>
        <v>-1.9318516525781366</v>
      </c>
      <c r="E19" s="3">
        <f t="shared" si="3"/>
        <v>-0.96592582628906831</v>
      </c>
      <c r="F19" s="3">
        <f t="shared" si="4"/>
        <v>-1.035276180410083</v>
      </c>
      <c r="G19" s="1">
        <f t="shared" si="5"/>
        <v>0.49999999999999978</v>
      </c>
      <c r="H19" s="1">
        <f t="shared" si="6"/>
        <v>-0.86602540378443882</v>
      </c>
    </row>
    <row r="20" spans="1:8" x14ac:dyDescent="0.35">
      <c r="A20" s="9">
        <v>270</v>
      </c>
      <c r="B20" s="9">
        <f t="shared" si="0"/>
        <v>4.7123889803846897</v>
      </c>
      <c r="C20" s="9">
        <f t="shared" si="1"/>
        <v>-5441517425873024</v>
      </c>
      <c r="D20" s="9">
        <f t="shared" si="2"/>
        <v>-2</v>
      </c>
      <c r="E20" s="9">
        <f t="shared" si="3"/>
        <v>-1</v>
      </c>
      <c r="F20" s="9">
        <f t="shared" si="4"/>
        <v>-1</v>
      </c>
      <c r="G20" s="1">
        <f t="shared" si="5"/>
        <v>3.67544536472586E-16</v>
      </c>
      <c r="H20" s="1">
        <f t="shared" si="6"/>
        <v>-1</v>
      </c>
    </row>
    <row r="21" spans="1:8" x14ac:dyDescent="0.35">
      <c r="A21" s="9">
        <v>285</v>
      </c>
      <c r="B21" s="9">
        <f t="shared" si="0"/>
        <v>4.9741883681838388</v>
      </c>
      <c r="C21" s="9">
        <f t="shared" si="1"/>
        <v>3.8637033051562799</v>
      </c>
      <c r="D21" s="9">
        <f t="shared" si="2"/>
        <v>-1.9318516525781368</v>
      </c>
      <c r="E21" s="9">
        <f t="shared" si="3"/>
        <v>-0.96592582628906842</v>
      </c>
      <c r="F21" s="9">
        <f t="shared" si="4"/>
        <v>-1.035276180410083</v>
      </c>
      <c r="G21" s="1">
        <f t="shared" si="5"/>
        <v>-0.49999999999999917</v>
      </c>
      <c r="H21" s="1">
        <f t="shared" si="6"/>
        <v>-0.86602540378443915</v>
      </c>
    </row>
    <row r="22" spans="1:8" x14ac:dyDescent="0.35">
      <c r="A22" s="3">
        <v>300</v>
      </c>
      <c r="B22" s="3">
        <f t="shared" si="0"/>
        <v>5.2359877559829888</v>
      </c>
      <c r="C22" s="3">
        <f t="shared" si="1"/>
        <v>1.9999999999999996</v>
      </c>
      <c r="D22" s="3">
        <f t="shared" si="2"/>
        <v>-1.7320508075688772</v>
      </c>
      <c r="E22" s="3">
        <f t="shared" si="3"/>
        <v>-0.8660254037844386</v>
      </c>
      <c r="F22" s="3">
        <f t="shared" si="4"/>
        <v>-1.1547005383792517</v>
      </c>
      <c r="G22" s="1">
        <f t="shared" si="5"/>
        <v>-0.86602540378443871</v>
      </c>
      <c r="H22" s="1">
        <f t="shared" si="6"/>
        <v>-0.49999999999999983</v>
      </c>
    </row>
    <row r="23" spans="1:8" x14ac:dyDescent="0.35">
      <c r="A23" s="3">
        <v>315</v>
      </c>
      <c r="B23" s="3">
        <f t="shared" si="0"/>
        <v>5.497787143782138</v>
      </c>
      <c r="C23" s="3">
        <f t="shared" si="1"/>
        <v>1.4142135623730954</v>
      </c>
      <c r="D23" s="3">
        <f t="shared" si="2"/>
        <v>-1.4142135623730954</v>
      </c>
      <c r="E23" s="3">
        <f t="shared" si="3"/>
        <v>-0.70710678118654768</v>
      </c>
      <c r="F23" s="3">
        <f t="shared" si="4"/>
        <v>-1.4142135623730947</v>
      </c>
      <c r="G23" s="1">
        <f t="shared" si="5"/>
        <v>-1</v>
      </c>
      <c r="H23" s="1">
        <f t="shared" si="6"/>
        <v>-4.28801959218017E-16</v>
      </c>
    </row>
    <row r="24" spans="1:8" x14ac:dyDescent="0.35">
      <c r="A24" s="3">
        <v>330</v>
      </c>
      <c r="B24" s="3">
        <f t="shared" si="0"/>
        <v>5.7595865315812871</v>
      </c>
      <c r="C24" s="3">
        <f t="shared" si="1"/>
        <v>1.1547005383792519</v>
      </c>
      <c r="D24" s="3">
        <f t="shared" si="2"/>
        <v>-1.0000000000000009</v>
      </c>
      <c r="E24" s="3">
        <f t="shared" si="3"/>
        <v>-0.50000000000000044</v>
      </c>
      <c r="F24" s="3">
        <f t="shared" si="4"/>
        <v>-1.9999999999999982</v>
      </c>
      <c r="G24" s="1">
        <f t="shared" si="5"/>
        <v>-0.86602540378443915</v>
      </c>
      <c r="H24" s="1">
        <f t="shared" si="6"/>
        <v>0.49999999999999911</v>
      </c>
    </row>
    <row r="25" spans="1:8" x14ac:dyDescent="0.35">
      <c r="A25" s="3">
        <v>345</v>
      </c>
      <c r="B25" s="3">
        <f t="shared" si="0"/>
        <v>6.0213859193804371</v>
      </c>
      <c r="C25" s="3">
        <f t="shared" si="1"/>
        <v>1.035276180410083</v>
      </c>
      <c r="D25" s="3">
        <f t="shared" si="2"/>
        <v>-0.51763809020504137</v>
      </c>
      <c r="E25" s="3">
        <f t="shared" si="3"/>
        <v>-0.25881904510252068</v>
      </c>
      <c r="F25" s="3">
        <f t="shared" si="4"/>
        <v>-3.8637033051562741</v>
      </c>
      <c r="G25" s="1">
        <f t="shared" si="5"/>
        <v>-0.49999999999999989</v>
      </c>
      <c r="H25" s="1">
        <f t="shared" si="6"/>
        <v>0.86602540378443871</v>
      </c>
    </row>
    <row r="26" spans="1:8" x14ac:dyDescent="0.35">
      <c r="A26" s="6">
        <v>360</v>
      </c>
      <c r="B26" s="6">
        <f t="shared" si="0"/>
        <v>6.2831853071795862</v>
      </c>
      <c r="C26" s="6">
        <f t="shared" si="1"/>
        <v>1</v>
      </c>
      <c r="D26" s="6">
        <f t="shared" si="2"/>
        <v>-4.90059381963448E-16</v>
      </c>
      <c r="E26" s="6">
        <f t="shared" si="3"/>
        <v>-2.45029690981724E-16</v>
      </c>
      <c r="F26" s="6">
        <f t="shared" si="4"/>
        <v>-4081138069404768</v>
      </c>
      <c r="G26" s="1">
        <f t="shared" si="5"/>
        <v>-4.90059381963448E-16</v>
      </c>
      <c r="H26" s="1">
        <f t="shared" si="6"/>
        <v>1</v>
      </c>
    </row>
    <row r="27" spans="1:8" x14ac:dyDescent="0.35">
      <c r="A27" s="3">
        <v>375</v>
      </c>
      <c r="B27" s="3">
        <f t="shared" si="0"/>
        <v>6.5449846949787354</v>
      </c>
      <c r="C27" s="3">
        <f t="shared" si="1"/>
        <v>1.035276180410083</v>
      </c>
      <c r="D27" s="3">
        <f t="shared" si="2"/>
        <v>0.51763809020504048</v>
      </c>
      <c r="E27" s="3">
        <f t="shared" si="3"/>
        <v>0.25881904510252024</v>
      </c>
      <c r="F27" s="3">
        <f t="shared" si="4"/>
        <v>3.8637033051562808</v>
      </c>
      <c r="G27" s="1">
        <f t="shared" si="5"/>
        <v>0.49999999999999906</v>
      </c>
      <c r="H27" s="1">
        <f t="shared" si="6"/>
        <v>0.86602540378443915</v>
      </c>
    </row>
    <row r="28" spans="1:8" x14ac:dyDescent="0.35">
      <c r="A28" s="3">
        <v>390</v>
      </c>
      <c r="B28" s="3">
        <f t="shared" si="0"/>
        <v>6.8067840827778854</v>
      </c>
      <c r="C28" s="3">
        <f t="shared" si="1"/>
        <v>1.1547005383792517</v>
      </c>
      <c r="D28" s="3">
        <f t="shared" si="2"/>
        <v>1</v>
      </c>
      <c r="E28" s="3">
        <f t="shared" si="3"/>
        <v>0.5</v>
      </c>
      <c r="F28" s="3">
        <f t="shared" si="4"/>
        <v>2</v>
      </c>
      <c r="G28" s="1">
        <f t="shared" si="5"/>
        <v>0.86602540378443871</v>
      </c>
      <c r="H28" s="1">
        <f t="shared" si="6"/>
        <v>0.49999999999999994</v>
      </c>
    </row>
    <row r="29" spans="1:8" x14ac:dyDescent="0.35">
      <c r="A29" s="3">
        <v>405</v>
      </c>
      <c r="B29" s="3">
        <f t="shared" si="0"/>
        <v>7.0685834705770345</v>
      </c>
      <c r="C29" s="3">
        <f t="shared" si="1"/>
        <v>1.4142135623730947</v>
      </c>
      <c r="D29" s="3">
        <f t="shared" si="2"/>
        <v>1.4142135623730947</v>
      </c>
      <c r="E29" s="3">
        <f t="shared" si="3"/>
        <v>0.70710678118654735</v>
      </c>
      <c r="F29" s="3">
        <f t="shared" si="4"/>
        <v>1.4142135623730954</v>
      </c>
      <c r="G29" s="1">
        <f t="shared" si="5"/>
        <v>1</v>
      </c>
      <c r="H29" s="1">
        <f t="shared" si="6"/>
        <v>5.51316804708879E-16</v>
      </c>
    </row>
    <row r="30" spans="1:8" x14ac:dyDescent="0.35">
      <c r="A30" s="3">
        <v>420</v>
      </c>
      <c r="B30" s="3">
        <f t="shared" si="0"/>
        <v>7.3303828583761845</v>
      </c>
      <c r="C30" s="3">
        <f t="shared" si="1"/>
        <v>2.0000000000000009</v>
      </c>
      <c r="D30" s="3">
        <f t="shared" si="2"/>
        <v>1.7320508075688776</v>
      </c>
      <c r="E30" s="3">
        <f t="shared" si="3"/>
        <v>0.86602540378443882</v>
      </c>
      <c r="F30" s="3">
        <f t="shared" si="4"/>
        <v>1.1547005383792512</v>
      </c>
      <c r="G30" s="1">
        <f t="shared" si="5"/>
        <v>0.86602540378443837</v>
      </c>
      <c r="H30" s="1">
        <f t="shared" si="6"/>
        <v>-0.50000000000000056</v>
      </c>
    </row>
    <row r="31" spans="1:8" x14ac:dyDescent="0.35">
      <c r="A31" s="3">
        <v>435</v>
      </c>
      <c r="B31" s="3">
        <f t="shared" si="0"/>
        <v>7.5921822461753337</v>
      </c>
      <c r="C31" s="3">
        <f t="shared" si="1"/>
        <v>3.8637033051562737</v>
      </c>
      <c r="D31" s="3">
        <f t="shared" si="2"/>
        <v>1.9318516525781366</v>
      </c>
      <c r="E31" s="3">
        <f t="shared" si="3"/>
        <v>0.96592582628906831</v>
      </c>
      <c r="F31" s="3">
        <f t="shared" si="4"/>
        <v>1.035276180410083</v>
      </c>
      <c r="G31" s="1">
        <f t="shared" si="5"/>
        <v>0.5</v>
      </c>
      <c r="H31" s="1">
        <f t="shared" si="6"/>
        <v>-0.8660254037844386</v>
      </c>
    </row>
    <row r="32" spans="1:8" x14ac:dyDescent="0.35">
      <c r="A32" s="3">
        <v>450</v>
      </c>
      <c r="B32" s="3">
        <f t="shared" si="0"/>
        <v>7.8539816339744828</v>
      </c>
      <c r="C32" s="3">
        <f t="shared" si="1"/>
        <v>3264910455523814.5</v>
      </c>
      <c r="D32" s="3">
        <f t="shared" si="2"/>
        <v>2</v>
      </c>
      <c r="E32" s="3">
        <f t="shared" si="3"/>
        <v>1</v>
      </c>
      <c r="F32" s="3">
        <f t="shared" si="4"/>
        <v>1</v>
      </c>
      <c r="G32" s="1">
        <f t="shared" si="5"/>
        <v>6.1257422745431001E-16</v>
      </c>
      <c r="H32" s="1">
        <f t="shared" si="6"/>
        <v>-1</v>
      </c>
    </row>
    <row r="33" spans="1:8" x14ac:dyDescent="0.35">
      <c r="A33" s="3">
        <v>465</v>
      </c>
      <c r="B33" s="3">
        <f t="shared" si="0"/>
        <v>8.1157810217736319</v>
      </c>
      <c r="C33" s="3">
        <f t="shared" si="1"/>
        <v>-3.8637033051562817</v>
      </c>
      <c r="D33" s="3">
        <f t="shared" si="2"/>
        <v>1.9318516525781368</v>
      </c>
      <c r="E33" s="3">
        <f t="shared" si="3"/>
        <v>0.96592582628906842</v>
      </c>
      <c r="F33" s="3">
        <f t="shared" si="4"/>
        <v>1.035276180410083</v>
      </c>
      <c r="G33" s="1">
        <f t="shared" si="5"/>
        <v>-0.49999999999999895</v>
      </c>
      <c r="H33" s="1">
        <f t="shared" si="6"/>
        <v>-0.86602540378443926</v>
      </c>
    </row>
    <row r="34" spans="1:8" x14ac:dyDescent="0.35">
      <c r="A34" s="3">
        <v>480</v>
      </c>
      <c r="B34" s="3">
        <f t="shared" si="0"/>
        <v>8.3775804095727811</v>
      </c>
      <c r="C34" s="3">
        <f t="shared" si="1"/>
        <v>-2.0000000000000031</v>
      </c>
      <c r="D34" s="3">
        <f t="shared" si="2"/>
        <v>1.7320508075688783</v>
      </c>
      <c r="E34" s="3">
        <f t="shared" si="3"/>
        <v>0.86602540378443915</v>
      </c>
      <c r="F34" s="3">
        <f t="shared" si="4"/>
        <v>1.1547005383792508</v>
      </c>
      <c r="G34" s="1">
        <f t="shared" si="5"/>
        <v>-0.86602540378443771</v>
      </c>
      <c r="H34" s="1">
        <f t="shared" si="6"/>
        <v>-0.50000000000000155</v>
      </c>
    </row>
    <row r="35" spans="1:8" x14ac:dyDescent="0.35">
      <c r="A35" s="3">
        <v>495</v>
      </c>
      <c r="B35" s="3">
        <f t="shared" si="0"/>
        <v>8.639379797371932</v>
      </c>
      <c r="C35" s="3">
        <f t="shared" si="1"/>
        <v>-1.4142135623730943</v>
      </c>
      <c r="D35" s="3">
        <f t="shared" si="2"/>
        <v>1.4142135623730943</v>
      </c>
      <c r="E35" s="3">
        <f t="shared" si="3"/>
        <v>0.70710678118654713</v>
      </c>
      <c r="F35" s="3">
        <f t="shared" si="4"/>
        <v>1.4142135623730958</v>
      </c>
      <c r="G35" s="1">
        <f t="shared" si="5"/>
        <v>-1</v>
      </c>
      <c r="H35" s="1">
        <f t="shared" si="6"/>
        <v>1.1025251892005095E-15</v>
      </c>
    </row>
    <row r="36" spans="1:8" x14ac:dyDescent="0.35">
      <c r="A36" s="3">
        <v>510</v>
      </c>
      <c r="B36" s="3">
        <f t="shared" si="0"/>
        <v>8.9011791851710811</v>
      </c>
      <c r="C36" s="3">
        <f t="shared" si="1"/>
        <v>-1.1547005383792512</v>
      </c>
      <c r="D36" s="3">
        <f t="shared" si="2"/>
        <v>0.99999999999999956</v>
      </c>
      <c r="E36" s="3">
        <f t="shared" si="3"/>
        <v>0.49999999999999978</v>
      </c>
      <c r="F36" s="3">
        <f t="shared" si="4"/>
        <v>2.0000000000000009</v>
      </c>
      <c r="G36" s="1">
        <f t="shared" si="5"/>
        <v>-0.86602540378443837</v>
      </c>
      <c r="H36" s="1">
        <f t="shared" si="6"/>
        <v>0.50000000000000044</v>
      </c>
    </row>
    <row r="37" spans="1:8" x14ac:dyDescent="0.35">
      <c r="A37" s="3">
        <v>525</v>
      </c>
      <c r="B37" s="3">
        <f t="shared" si="0"/>
        <v>9.1629785729702302</v>
      </c>
      <c r="C37" s="3">
        <f t="shared" si="1"/>
        <v>-1.035276180410083</v>
      </c>
      <c r="D37" s="3">
        <f t="shared" si="2"/>
        <v>0.51763809020504159</v>
      </c>
      <c r="E37" s="3">
        <f t="shared" si="3"/>
        <v>0.25881904510252079</v>
      </c>
      <c r="F37" s="3">
        <f t="shared" si="4"/>
        <v>3.8637033051562728</v>
      </c>
      <c r="G37" s="1">
        <f t="shared" si="5"/>
        <v>-0.50000000000000011</v>
      </c>
      <c r="H37" s="1">
        <f t="shared" si="6"/>
        <v>0.8660254037844386</v>
      </c>
    </row>
    <row r="38" spans="1:8" x14ac:dyDescent="0.35">
      <c r="A38" s="3">
        <v>540</v>
      </c>
      <c r="B38" s="3">
        <f t="shared" si="0"/>
        <v>9.4247779607693793</v>
      </c>
      <c r="C38" s="3">
        <f t="shared" si="1"/>
        <v>-1</v>
      </c>
      <c r="D38" s="3">
        <f t="shared" si="2"/>
        <v>7.3508907294517201E-16</v>
      </c>
      <c r="E38" s="3">
        <f t="shared" si="3"/>
        <v>3.67544536472586E-16</v>
      </c>
      <c r="F38" s="3">
        <f t="shared" si="4"/>
        <v>2720758712936512</v>
      </c>
      <c r="G38" s="1">
        <f t="shared" si="5"/>
        <v>-7.3508907294517201E-16</v>
      </c>
      <c r="H38" s="1">
        <f t="shared" si="6"/>
        <v>1</v>
      </c>
    </row>
    <row r="39" spans="1:8" x14ac:dyDescent="0.35">
      <c r="A39" s="3">
        <v>555</v>
      </c>
      <c r="B39" s="3">
        <f t="shared" si="0"/>
        <v>9.6865773485685285</v>
      </c>
      <c r="C39" s="3">
        <f t="shared" si="1"/>
        <v>-1.035276180410083</v>
      </c>
      <c r="D39" s="3">
        <f t="shared" si="2"/>
        <v>-0.51763809020504026</v>
      </c>
      <c r="E39" s="3">
        <f t="shared" si="3"/>
        <v>-0.25881904510252013</v>
      </c>
      <c r="F39" s="3">
        <f t="shared" si="4"/>
        <v>-3.8637033051562826</v>
      </c>
      <c r="G39" s="1">
        <f t="shared" si="5"/>
        <v>0.49999999999999883</v>
      </c>
      <c r="H39" s="1">
        <f t="shared" si="6"/>
        <v>0.86602540378443937</v>
      </c>
    </row>
    <row r="40" spans="1:8" x14ac:dyDescent="0.35">
      <c r="A40" s="3">
        <v>570</v>
      </c>
      <c r="B40" s="3">
        <f t="shared" si="0"/>
        <v>9.9483767363676776</v>
      </c>
      <c r="C40" s="3">
        <f t="shared" si="1"/>
        <v>-1.1547005383792508</v>
      </c>
      <c r="D40" s="3">
        <f t="shared" si="2"/>
        <v>-0.99999999999999833</v>
      </c>
      <c r="E40" s="3">
        <f t="shared" si="3"/>
        <v>-0.49999999999999917</v>
      </c>
      <c r="F40" s="3">
        <f t="shared" si="4"/>
        <v>-2.0000000000000036</v>
      </c>
      <c r="G40" s="1">
        <f t="shared" si="5"/>
        <v>0.86602540378443771</v>
      </c>
      <c r="H40" s="1">
        <f t="shared" si="6"/>
        <v>0.50000000000000167</v>
      </c>
    </row>
    <row r="41" spans="1:8" x14ac:dyDescent="0.35">
      <c r="A41" s="3">
        <v>585</v>
      </c>
      <c r="B41" s="3">
        <f t="shared" si="0"/>
        <v>10.210176124166829</v>
      </c>
      <c r="C41" s="3">
        <f t="shared" si="1"/>
        <v>-1.4142135623730958</v>
      </c>
      <c r="D41" s="3">
        <f t="shared" si="2"/>
        <v>-1.4142135623730958</v>
      </c>
      <c r="E41" s="3">
        <f t="shared" si="3"/>
        <v>-0.70710678118654791</v>
      </c>
      <c r="F41" s="3">
        <f t="shared" si="4"/>
        <v>-1.4142135623730943</v>
      </c>
      <c r="G41" s="1">
        <f t="shared" si="5"/>
        <v>1</v>
      </c>
      <c r="H41" s="1">
        <f t="shared" si="6"/>
        <v>-9.8001034370964746E-16</v>
      </c>
    </row>
    <row r="42" spans="1:8" x14ac:dyDescent="0.35">
      <c r="A42" s="3">
        <v>600</v>
      </c>
      <c r="B42" s="3">
        <f t="shared" si="0"/>
        <v>10.471975511965978</v>
      </c>
      <c r="C42" s="3">
        <f t="shared" si="1"/>
        <v>-2.0000000000000009</v>
      </c>
      <c r="D42" s="3">
        <f t="shared" si="2"/>
        <v>-1.7320508075688774</v>
      </c>
      <c r="E42" s="3">
        <f t="shared" si="3"/>
        <v>-0.86602540378443871</v>
      </c>
      <c r="F42" s="3">
        <f t="shared" si="4"/>
        <v>-1.1547005383792515</v>
      </c>
      <c r="G42" s="1">
        <f t="shared" si="5"/>
        <v>0.86602540378443849</v>
      </c>
      <c r="H42" s="1">
        <f t="shared" si="6"/>
        <v>-0.50000000000000033</v>
      </c>
    </row>
    <row r="43" spans="1:8" x14ac:dyDescent="0.35">
      <c r="A43" s="3">
        <v>615</v>
      </c>
      <c r="B43" s="3">
        <f t="shared" si="0"/>
        <v>10.733774899765127</v>
      </c>
      <c r="C43" s="3">
        <f t="shared" si="1"/>
        <v>-3.863703305156271</v>
      </c>
      <c r="D43" s="3">
        <f t="shared" si="2"/>
        <v>-1.9318516525781364</v>
      </c>
      <c r="E43" s="3">
        <f t="shared" si="3"/>
        <v>-0.9659258262890682</v>
      </c>
      <c r="F43" s="3">
        <f t="shared" si="4"/>
        <v>-1.0352761804100832</v>
      </c>
      <c r="G43" s="1">
        <f t="shared" si="5"/>
        <v>0.50000000000000022</v>
      </c>
      <c r="H43" s="1">
        <f t="shared" si="6"/>
        <v>-0.86602540378443849</v>
      </c>
    </row>
    <row r="44" spans="1:8" x14ac:dyDescent="0.35">
      <c r="A44" s="3">
        <v>630</v>
      </c>
      <c r="B44" s="3">
        <f t="shared" si="0"/>
        <v>10.995574287564276</v>
      </c>
      <c r="C44" s="3">
        <f t="shared" si="1"/>
        <v>-2332078896802724.5</v>
      </c>
      <c r="D44" s="3">
        <f t="shared" si="2"/>
        <v>-2</v>
      </c>
      <c r="E44" s="3">
        <f t="shared" si="3"/>
        <v>-1</v>
      </c>
      <c r="F44" s="3">
        <f t="shared" si="4"/>
        <v>-1</v>
      </c>
      <c r="G44" s="1">
        <f t="shared" si="5"/>
        <v>8.5760391843603401E-16</v>
      </c>
      <c r="H44" s="1">
        <f t="shared" si="6"/>
        <v>-1</v>
      </c>
    </row>
    <row r="45" spans="1:8" x14ac:dyDescent="0.35">
      <c r="A45" s="3">
        <v>645</v>
      </c>
      <c r="B45" s="3">
        <f t="shared" si="0"/>
        <v>11.257373675363425</v>
      </c>
      <c r="C45" s="3">
        <f t="shared" si="1"/>
        <v>3.8637033051562835</v>
      </c>
      <c r="D45" s="3">
        <f t="shared" si="2"/>
        <v>-1.9318516525781368</v>
      </c>
      <c r="E45" s="3">
        <f t="shared" si="3"/>
        <v>-0.96592582628906842</v>
      </c>
      <c r="F45" s="3">
        <f t="shared" si="4"/>
        <v>-1.035276180410083</v>
      </c>
      <c r="G45" s="1">
        <f t="shared" si="5"/>
        <v>-0.49999999999999872</v>
      </c>
      <c r="H45" s="1">
        <f t="shared" si="6"/>
        <v>-0.86602540378443937</v>
      </c>
    </row>
    <row r="46" spans="1:8" x14ac:dyDescent="0.35">
      <c r="A46" s="3">
        <v>660</v>
      </c>
      <c r="B46" s="3">
        <f t="shared" si="0"/>
        <v>11.519173063162574</v>
      </c>
      <c r="C46" s="3">
        <f t="shared" si="1"/>
        <v>2.0000000000000036</v>
      </c>
      <c r="D46" s="3">
        <f t="shared" si="2"/>
        <v>-1.7320508075688783</v>
      </c>
      <c r="E46" s="3">
        <f t="shared" si="3"/>
        <v>-0.86602540378443915</v>
      </c>
      <c r="F46" s="3">
        <f t="shared" si="4"/>
        <v>-1.1547005383792508</v>
      </c>
      <c r="G46" s="1">
        <f t="shared" si="5"/>
        <v>-0.8660254037844376</v>
      </c>
      <c r="H46" s="1">
        <f t="shared" si="6"/>
        <v>-0.50000000000000178</v>
      </c>
    </row>
    <row r="47" spans="1:8" x14ac:dyDescent="0.35">
      <c r="A47" s="3">
        <v>675</v>
      </c>
      <c r="B47" s="3">
        <f t="shared" si="0"/>
        <v>11.780972450961725</v>
      </c>
      <c r="C47" s="3">
        <f t="shared" si="1"/>
        <v>1.4142135623730945</v>
      </c>
      <c r="D47" s="3">
        <f t="shared" si="2"/>
        <v>-1.4142135623730945</v>
      </c>
      <c r="E47" s="3">
        <f t="shared" si="3"/>
        <v>-0.70710678118654724</v>
      </c>
      <c r="F47" s="3">
        <f t="shared" si="4"/>
        <v>-1.4142135623730956</v>
      </c>
      <c r="G47" s="1">
        <f t="shared" si="5"/>
        <v>-1</v>
      </c>
      <c r="H47" s="1">
        <f t="shared" si="6"/>
        <v>8.5749549821878546E-16</v>
      </c>
    </row>
    <row r="48" spans="1:8" x14ac:dyDescent="0.35">
      <c r="A48" s="3">
        <v>690</v>
      </c>
      <c r="B48" s="3">
        <f t="shared" si="0"/>
        <v>12.042771838760874</v>
      </c>
      <c r="C48" s="3">
        <f t="shared" si="1"/>
        <v>1.1547005383792515</v>
      </c>
      <c r="D48" s="3">
        <f t="shared" si="2"/>
        <v>-0.99999999999999978</v>
      </c>
      <c r="E48" s="3">
        <f t="shared" si="3"/>
        <v>-0.49999999999999989</v>
      </c>
      <c r="F48" s="3">
        <f t="shared" si="4"/>
        <v>-2.0000000000000004</v>
      </c>
      <c r="G48" s="1">
        <f t="shared" si="5"/>
        <v>-0.86602540378443849</v>
      </c>
      <c r="H48" s="1">
        <f t="shared" si="6"/>
        <v>0.50000000000000022</v>
      </c>
    </row>
    <row r="49" spans="1:8" x14ac:dyDescent="0.35">
      <c r="A49" s="3">
        <v>705</v>
      </c>
      <c r="B49" s="3">
        <f t="shared" si="0"/>
        <v>12.304571226560023</v>
      </c>
      <c r="C49" s="3">
        <f t="shared" si="1"/>
        <v>1.0352761804100832</v>
      </c>
      <c r="D49" s="3">
        <f t="shared" si="2"/>
        <v>-0.51763809020504192</v>
      </c>
      <c r="E49" s="3">
        <f t="shared" si="3"/>
        <v>-0.25881904510252096</v>
      </c>
      <c r="F49" s="3">
        <f t="shared" si="4"/>
        <v>-3.8637033051562701</v>
      </c>
      <c r="G49" s="1">
        <f t="shared" si="5"/>
        <v>-0.50000000000000033</v>
      </c>
      <c r="H49" s="1">
        <f t="shared" si="6"/>
        <v>0.86602540378443849</v>
      </c>
    </row>
    <row r="50" spans="1:8" x14ac:dyDescent="0.35">
      <c r="A50" s="3">
        <v>720</v>
      </c>
      <c r="B50" s="3">
        <f t="shared" si="0"/>
        <v>12.566370614359172</v>
      </c>
      <c r="C50" s="3">
        <f t="shared" si="1"/>
        <v>1</v>
      </c>
      <c r="D50" s="3">
        <f t="shared" si="2"/>
        <v>-9.8011876392689601E-16</v>
      </c>
      <c r="E50" s="3">
        <f t="shared" si="3"/>
        <v>-4.90059381963448E-16</v>
      </c>
      <c r="F50" s="3">
        <f t="shared" si="4"/>
        <v>-2040569034702384</v>
      </c>
      <c r="G50" s="1">
        <f t="shared" si="5"/>
        <v>-9.8011876392689601E-16</v>
      </c>
      <c r="H50" s="1">
        <f t="shared" si="6"/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52D63-8FAB-4B99-BED9-0A7E821490E3}">
  <dimension ref="A1:H50"/>
  <sheetViews>
    <sheetView zoomScale="90" zoomScaleNormal="90" workbookViewId="0">
      <selection activeCell="X10" sqref="X10"/>
    </sheetView>
  </sheetViews>
  <sheetFormatPr defaultRowHeight="14.5" x14ac:dyDescent="0.35"/>
  <cols>
    <col min="1" max="3" width="8.7265625" style="1"/>
    <col min="4" max="4" width="12.6328125" style="1" bestFit="1" customWidth="1"/>
    <col min="5" max="5" width="12.6328125" style="1" hidden="1" customWidth="1"/>
    <col min="6" max="7" width="6.90625" style="1" hidden="1" customWidth="1"/>
    <col min="8" max="8" width="6.90625" style="1" customWidth="1"/>
  </cols>
  <sheetData>
    <row r="1" spans="1:8" x14ac:dyDescent="0.35">
      <c r="A1" s="1" t="s">
        <v>0</v>
      </c>
      <c r="B1" s="1" t="s">
        <v>1</v>
      </c>
      <c r="C1" s="1" t="s">
        <v>11</v>
      </c>
      <c r="D1" s="1" t="s">
        <v>12</v>
      </c>
      <c r="E1" s="1" t="s">
        <v>13</v>
      </c>
      <c r="F1" s="1" t="s">
        <v>5</v>
      </c>
      <c r="G1" s="1" t="s">
        <v>6</v>
      </c>
      <c r="H1" s="1" t="s">
        <v>14</v>
      </c>
    </row>
    <row r="2" spans="1:8" x14ac:dyDescent="0.35">
      <c r="A2" s="1">
        <v>0</v>
      </c>
      <c r="B2" s="1">
        <f>RADIANS(A2)</f>
        <v>0</v>
      </c>
      <c r="C2" s="1">
        <f>TAN(B2)</f>
        <v>0</v>
      </c>
      <c r="D2" s="1">
        <f>SIN(B2)</f>
        <v>0</v>
      </c>
      <c r="E2" s="1" t="e">
        <f>_xlfn.CSC(B2)</f>
        <v>#DIV/0!</v>
      </c>
      <c r="F2" s="1">
        <f>2*COS(B2)</f>
        <v>2</v>
      </c>
      <c r="G2" s="1">
        <f>SIN(2*B2)</f>
        <v>0</v>
      </c>
      <c r="H2" s="1">
        <f>COS(B2)</f>
        <v>1</v>
      </c>
    </row>
    <row r="3" spans="1:8" x14ac:dyDescent="0.35">
      <c r="A3" s="1">
        <v>15</v>
      </c>
      <c r="B3" s="1">
        <f t="shared" ref="B3:B50" si="0">RADIANS(A3)</f>
        <v>0.26179938779914941</v>
      </c>
      <c r="C3" s="1">
        <f t="shared" ref="C3:C50" si="1">TAN(B3)</f>
        <v>0.2679491924311227</v>
      </c>
      <c r="D3" s="1">
        <f t="shared" ref="D3:D50" si="2">SIN(B3)</f>
        <v>0.25881904510252074</v>
      </c>
      <c r="E3" s="1">
        <f t="shared" ref="E3:E50" si="3">_xlfn.CSC(B3)</f>
        <v>3.8637033051562737</v>
      </c>
      <c r="F3" s="1">
        <f t="shared" ref="F3:F50" si="4">2*COS(B3)</f>
        <v>1.9318516525781366</v>
      </c>
      <c r="G3" s="1">
        <f t="shared" ref="G3:G50" si="5">SIN(2*B3)</f>
        <v>0.49999999999999994</v>
      </c>
      <c r="H3" s="1">
        <f t="shared" ref="H3:H50" si="6">COS(B3)</f>
        <v>0.96592582628906831</v>
      </c>
    </row>
    <row r="4" spans="1:8" x14ac:dyDescent="0.35">
      <c r="A4" s="1">
        <v>30</v>
      </c>
      <c r="B4" s="1">
        <f t="shared" si="0"/>
        <v>0.52359877559829882</v>
      </c>
      <c r="C4" s="1">
        <f t="shared" si="1"/>
        <v>0.57735026918962573</v>
      </c>
      <c r="D4" s="1">
        <f t="shared" si="2"/>
        <v>0.49999999999999994</v>
      </c>
      <c r="E4" s="1">
        <f t="shared" si="3"/>
        <v>2</v>
      </c>
      <c r="F4" s="1">
        <f t="shared" si="4"/>
        <v>1.7320508075688774</v>
      </c>
      <c r="G4" s="1">
        <f t="shared" si="5"/>
        <v>0.8660254037844386</v>
      </c>
      <c r="H4" s="1">
        <f t="shared" si="6"/>
        <v>0.86602540378443871</v>
      </c>
    </row>
    <row r="5" spans="1:8" x14ac:dyDescent="0.35">
      <c r="A5" s="1">
        <v>45</v>
      </c>
      <c r="B5" s="1">
        <f t="shared" si="0"/>
        <v>0.78539816339744828</v>
      </c>
      <c r="C5" s="1">
        <f t="shared" si="1"/>
        <v>0.99999999999999989</v>
      </c>
      <c r="D5" s="1">
        <f t="shared" si="2"/>
        <v>0.70710678118654746</v>
      </c>
      <c r="E5" s="1">
        <f t="shared" si="3"/>
        <v>1.4142135623730951</v>
      </c>
      <c r="F5" s="1">
        <f t="shared" si="4"/>
        <v>1.4142135623730951</v>
      </c>
      <c r="G5" s="1">
        <f t="shared" si="5"/>
        <v>1</v>
      </c>
      <c r="H5" s="1">
        <f t="shared" si="6"/>
        <v>0.70710678118654757</v>
      </c>
    </row>
    <row r="6" spans="1:8" x14ac:dyDescent="0.35">
      <c r="A6" s="1">
        <v>60</v>
      </c>
      <c r="B6" s="1">
        <f t="shared" si="0"/>
        <v>1.0471975511965976</v>
      </c>
      <c r="C6" s="1">
        <f t="shared" si="1"/>
        <v>1.7320508075688767</v>
      </c>
      <c r="D6" s="1">
        <f t="shared" si="2"/>
        <v>0.8660254037844386</v>
      </c>
      <c r="E6" s="1">
        <f t="shared" si="3"/>
        <v>1.1547005383792517</v>
      </c>
      <c r="F6" s="1">
        <f t="shared" si="4"/>
        <v>1.0000000000000002</v>
      </c>
      <c r="G6" s="1">
        <f t="shared" si="5"/>
        <v>0.86602540378443871</v>
      </c>
      <c r="H6" s="1">
        <f t="shared" si="6"/>
        <v>0.50000000000000011</v>
      </c>
    </row>
    <row r="7" spans="1:8" x14ac:dyDescent="0.35">
      <c r="A7" s="1">
        <v>75</v>
      </c>
      <c r="B7" s="1">
        <f t="shared" si="0"/>
        <v>1.3089969389957472</v>
      </c>
      <c r="C7" s="1">
        <f t="shared" si="1"/>
        <v>3.7320508075688776</v>
      </c>
      <c r="D7" s="1">
        <f t="shared" si="2"/>
        <v>0.96592582628906831</v>
      </c>
      <c r="E7" s="1">
        <f t="shared" si="3"/>
        <v>1.035276180410083</v>
      </c>
      <c r="F7" s="1">
        <f t="shared" si="4"/>
        <v>0.51763809020504148</v>
      </c>
      <c r="G7" s="1">
        <f t="shared" si="5"/>
        <v>0.49999999999999994</v>
      </c>
      <c r="H7" s="1">
        <f t="shared" si="6"/>
        <v>0.25881904510252074</v>
      </c>
    </row>
    <row r="8" spans="1:8" x14ac:dyDescent="0.35">
      <c r="A8" s="1">
        <v>90</v>
      </c>
      <c r="B8" s="1">
        <f t="shared" si="0"/>
        <v>1.5707963267948966</v>
      </c>
      <c r="C8" s="1">
        <f t="shared" si="1"/>
        <v>1.6324552277619072E+16</v>
      </c>
      <c r="D8" s="1">
        <f t="shared" si="2"/>
        <v>1</v>
      </c>
      <c r="E8" s="1">
        <f t="shared" si="3"/>
        <v>1</v>
      </c>
      <c r="F8" s="1">
        <f t="shared" si="4"/>
        <v>1.22514845490862E-16</v>
      </c>
      <c r="G8" s="1">
        <f t="shared" si="5"/>
        <v>1.22514845490862E-16</v>
      </c>
      <c r="H8" s="1">
        <f t="shared" si="6"/>
        <v>6.1257422745431001E-17</v>
      </c>
    </row>
    <row r="9" spans="1:8" x14ac:dyDescent="0.35">
      <c r="A9" s="1">
        <v>105</v>
      </c>
      <c r="B9" s="1">
        <f t="shared" si="0"/>
        <v>1.8325957145940461</v>
      </c>
      <c r="C9" s="1">
        <f t="shared" si="1"/>
        <v>-3.7320508075688763</v>
      </c>
      <c r="D9" s="1">
        <f t="shared" si="2"/>
        <v>0.96592582628906831</v>
      </c>
      <c r="E9" s="1">
        <f t="shared" si="3"/>
        <v>1.035276180410083</v>
      </c>
      <c r="F9" s="1">
        <f t="shared" si="4"/>
        <v>-0.5176380902050417</v>
      </c>
      <c r="G9" s="1">
        <f t="shared" si="5"/>
        <v>-0.50000000000000011</v>
      </c>
      <c r="H9" s="1">
        <f t="shared" si="6"/>
        <v>-0.25881904510252085</v>
      </c>
    </row>
    <row r="10" spans="1:8" x14ac:dyDescent="0.35">
      <c r="A10" s="1">
        <v>120</v>
      </c>
      <c r="B10" s="1">
        <f t="shared" si="0"/>
        <v>2.0943951023931953</v>
      </c>
      <c r="C10" s="1">
        <f t="shared" si="1"/>
        <v>-1.7320508075688783</v>
      </c>
      <c r="D10" s="1">
        <f t="shared" si="2"/>
        <v>0.86602540378443871</v>
      </c>
      <c r="E10" s="1">
        <f t="shared" si="3"/>
        <v>1.1547005383792515</v>
      </c>
      <c r="F10" s="1">
        <f t="shared" si="4"/>
        <v>-0.99999999999999956</v>
      </c>
      <c r="G10" s="1">
        <f t="shared" si="5"/>
        <v>-0.86602540378443837</v>
      </c>
      <c r="H10" s="1">
        <f t="shared" si="6"/>
        <v>-0.49999999999999978</v>
      </c>
    </row>
    <row r="11" spans="1:8" x14ac:dyDescent="0.35">
      <c r="A11" s="1">
        <v>135</v>
      </c>
      <c r="B11" s="1">
        <f t="shared" si="0"/>
        <v>2.3561944901923448</v>
      </c>
      <c r="C11" s="1">
        <f t="shared" si="1"/>
        <v>-1.0000000000000002</v>
      </c>
      <c r="D11" s="1">
        <f t="shared" si="2"/>
        <v>0.70710678118654757</v>
      </c>
      <c r="E11" s="1">
        <f t="shared" si="3"/>
        <v>1.4142135623730949</v>
      </c>
      <c r="F11" s="1">
        <f t="shared" si="4"/>
        <v>-1.4142135623730949</v>
      </c>
      <c r="G11" s="1">
        <f t="shared" si="5"/>
        <v>-1</v>
      </c>
      <c r="H11" s="1">
        <f t="shared" si="6"/>
        <v>-0.70710678118654746</v>
      </c>
    </row>
    <row r="12" spans="1:8" x14ac:dyDescent="0.35">
      <c r="A12" s="1">
        <v>150</v>
      </c>
      <c r="B12" s="1">
        <f t="shared" si="0"/>
        <v>2.6179938779914944</v>
      </c>
      <c r="C12" s="1">
        <f t="shared" si="1"/>
        <v>-0.57735026918962573</v>
      </c>
      <c r="D12" s="1">
        <f t="shared" si="2"/>
        <v>0.49999999999999994</v>
      </c>
      <c r="E12" s="1">
        <f t="shared" si="3"/>
        <v>2</v>
      </c>
      <c r="F12" s="1">
        <f t="shared" si="4"/>
        <v>-1.7320508075688774</v>
      </c>
      <c r="G12" s="1">
        <f t="shared" si="5"/>
        <v>-0.8660254037844386</v>
      </c>
      <c r="H12" s="1">
        <f t="shared" si="6"/>
        <v>-0.86602540378443871</v>
      </c>
    </row>
    <row r="13" spans="1:8" x14ac:dyDescent="0.35">
      <c r="A13" s="1">
        <v>165</v>
      </c>
      <c r="B13" s="1">
        <f t="shared" si="0"/>
        <v>2.8797932657906435</v>
      </c>
      <c r="C13" s="1">
        <f t="shared" si="1"/>
        <v>-0.26794919243112297</v>
      </c>
      <c r="D13" s="1">
        <f t="shared" si="2"/>
        <v>0.25881904510252102</v>
      </c>
      <c r="E13" s="1">
        <f t="shared" si="3"/>
        <v>3.8637033051562693</v>
      </c>
      <c r="F13" s="1">
        <f t="shared" si="4"/>
        <v>-1.9318516525781364</v>
      </c>
      <c r="G13" s="1">
        <f t="shared" si="5"/>
        <v>-0.50000000000000044</v>
      </c>
      <c r="H13" s="1">
        <f t="shared" si="6"/>
        <v>-0.9659258262890682</v>
      </c>
    </row>
    <row r="14" spans="1:8" x14ac:dyDescent="0.35">
      <c r="A14" s="1">
        <v>180</v>
      </c>
      <c r="B14" s="1">
        <f t="shared" si="0"/>
        <v>3.1415926535897931</v>
      </c>
      <c r="C14" s="1">
        <f t="shared" si="1"/>
        <v>-1.22514845490862E-16</v>
      </c>
      <c r="D14" s="1">
        <f t="shared" si="2"/>
        <v>1.22514845490862E-16</v>
      </c>
      <c r="E14" s="1">
        <f t="shared" si="3"/>
        <v>8162276138809536</v>
      </c>
      <c r="F14" s="1">
        <f t="shared" si="4"/>
        <v>-2</v>
      </c>
      <c r="G14" s="1">
        <f t="shared" si="5"/>
        <v>-2.45029690981724E-16</v>
      </c>
      <c r="H14" s="1">
        <f t="shared" si="6"/>
        <v>-1</v>
      </c>
    </row>
    <row r="15" spans="1:8" x14ac:dyDescent="0.35">
      <c r="A15" s="1">
        <v>195</v>
      </c>
      <c r="B15" s="1">
        <f t="shared" si="0"/>
        <v>3.4033920413889427</v>
      </c>
      <c r="C15" s="1">
        <f t="shared" si="1"/>
        <v>0.2679491924311227</v>
      </c>
      <c r="D15" s="1">
        <f t="shared" si="2"/>
        <v>-0.25881904510252079</v>
      </c>
      <c r="E15" s="1">
        <f t="shared" si="3"/>
        <v>-3.8637033051562728</v>
      </c>
      <c r="F15" s="1">
        <f t="shared" si="4"/>
        <v>-1.9318516525781366</v>
      </c>
      <c r="G15" s="1">
        <f t="shared" si="5"/>
        <v>0.5</v>
      </c>
      <c r="H15" s="1">
        <f t="shared" si="6"/>
        <v>-0.96592582628906831</v>
      </c>
    </row>
    <row r="16" spans="1:8" x14ac:dyDescent="0.35">
      <c r="A16" s="1">
        <v>210</v>
      </c>
      <c r="B16" s="1">
        <f t="shared" si="0"/>
        <v>3.6651914291880923</v>
      </c>
      <c r="C16" s="1">
        <f t="shared" si="1"/>
        <v>0.57735026918962595</v>
      </c>
      <c r="D16" s="1">
        <f t="shared" si="2"/>
        <v>-0.50000000000000011</v>
      </c>
      <c r="E16" s="1">
        <f t="shared" si="3"/>
        <v>-1.9999999999999996</v>
      </c>
      <c r="F16" s="1">
        <f t="shared" si="4"/>
        <v>-1.7320508075688772</v>
      </c>
      <c r="G16" s="1">
        <f t="shared" si="5"/>
        <v>0.86602540378443882</v>
      </c>
      <c r="H16" s="1">
        <f t="shared" si="6"/>
        <v>-0.8660254037844386</v>
      </c>
    </row>
    <row r="17" spans="1:8" x14ac:dyDescent="0.35">
      <c r="A17" s="1">
        <v>225</v>
      </c>
      <c r="B17" s="1">
        <f t="shared" si="0"/>
        <v>3.9269908169872414</v>
      </c>
      <c r="C17" s="1">
        <f t="shared" si="1"/>
        <v>0.99999999999999967</v>
      </c>
      <c r="D17" s="1">
        <f t="shared" si="2"/>
        <v>-0.70710678118654746</v>
      </c>
      <c r="E17" s="1">
        <f t="shared" si="3"/>
        <v>-1.4142135623730951</v>
      </c>
      <c r="F17" s="1">
        <f t="shared" si="4"/>
        <v>-1.4142135623730954</v>
      </c>
      <c r="G17" s="1">
        <f t="shared" si="5"/>
        <v>1</v>
      </c>
      <c r="H17" s="1">
        <f t="shared" si="6"/>
        <v>-0.70710678118654768</v>
      </c>
    </row>
    <row r="18" spans="1:8" x14ac:dyDescent="0.35">
      <c r="A18" s="1">
        <v>240</v>
      </c>
      <c r="B18" s="1">
        <f t="shared" si="0"/>
        <v>4.1887902047863905</v>
      </c>
      <c r="C18" s="1">
        <f t="shared" si="1"/>
        <v>1.7320508075688754</v>
      </c>
      <c r="D18" s="1">
        <f t="shared" si="2"/>
        <v>-0.86602540378443837</v>
      </c>
      <c r="E18" s="1">
        <f t="shared" si="3"/>
        <v>-1.1547005383792519</v>
      </c>
      <c r="F18" s="1">
        <f t="shared" si="4"/>
        <v>-1.0000000000000009</v>
      </c>
      <c r="G18" s="1">
        <f t="shared" si="5"/>
        <v>0.86602540378443915</v>
      </c>
      <c r="H18" s="1">
        <f t="shared" si="6"/>
        <v>-0.50000000000000044</v>
      </c>
    </row>
    <row r="19" spans="1:8" x14ac:dyDescent="0.35">
      <c r="A19" s="1">
        <v>255</v>
      </c>
      <c r="B19" s="1">
        <f t="shared" si="0"/>
        <v>4.4505895925855405</v>
      </c>
      <c r="C19" s="1">
        <f t="shared" si="1"/>
        <v>3.732050807568879</v>
      </c>
      <c r="D19" s="1">
        <f t="shared" si="2"/>
        <v>-0.96592582628906831</v>
      </c>
      <c r="E19" s="1">
        <f t="shared" si="3"/>
        <v>-1.035276180410083</v>
      </c>
      <c r="F19" s="1">
        <f t="shared" si="4"/>
        <v>-0.51763809020504126</v>
      </c>
      <c r="G19" s="1">
        <f t="shared" si="5"/>
        <v>0.49999999999999978</v>
      </c>
      <c r="H19" s="1">
        <f t="shared" si="6"/>
        <v>-0.25881904510252063</v>
      </c>
    </row>
    <row r="20" spans="1:8" x14ac:dyDescent="0.35">
      <c r="A20" s="1">
        <v>270</v>
      </c>
      <c r="B20" s="1">
        <f t="shared" si="0"/>
        <v>4.7123889803846897</v>
      </c>
      <c r="C20" s="1">
        <f t="shared" si="1"/>
        <v>5441517425873024</v>
      </c>
      <c r="D20" s="1">
        <f t="shared" si="2"/>
        <v>-1</v>
      </c>
      <c r="E20" s="1">
        <f t="shared" si="3"/>
        <v>-1</v>
      </c>
      <c r="F20" s="1">
        <f t="shared" si="4"/>
        <v>-3.67544536472586E-16</v>
      </c>
      <c r="G20" s="1">
        <f t="shared" si="5"/>
        <v>3.67544536472586E-16</v>
      </c>
      <c r="H20" s="1">
        <f t="shared" si="6"/>
        <v>-1.83772268236293E-16</v>
      </c>
    </row>
    <row r="21" spans="1:8" x14ac:dyDescent="0.35">
      <c r="A21" s="1">
        <v>285</v>
      </c>
      <c r="B21" s="1">
        <f t="shared" si="0"/>
        <v>4.9741883681838388</v>
      </c>
      <c r="C21" s="1">
        <f t="shared" si="1"/>
        <v>-3.7320508075688847</v>
      </c>
      <c r="D21" s="1">
        <f t="shared" si="2"/>
        <v>-0.96592582628906842</v>
      </c>
      <c r="E21" s="1">
        <f t="shared" si="3"/>
        <v>-1.035276180410083</v>
      </c>
      <c r="F21" s="1">
        <f t="shared" si="4"/>
        <v>0.51763809020504059</v>
      </c>
      <c r="G21" s="1">
        <f t="shared" si="5"/>
        <v>-0.49999999999999917</v>
      </c>
      <c r="H21" s="1">
        <f t="shared" si="6"/>
        <v>0.2588190451025203</v>
      </c>
    </row>
    <row r="22" spans="1:8" x14ac:dyDescent="0.35">
      <c r="A22" s="1">
        <v>300</v>
      </c>
      <c r="B22" s="1">
        <f t="shared" si="0"/>
        <v>5.2359877559829888</v>
      </c>
      <c r="C22" s="1">
        <f t="shared" si="1"/>
        <v>-1.732050807568877</v>
      </c>
      <c r="D22" s="1">
        <f t="shared" si="2"/>
        <v>-0.8660254037844386</v>
      </c>
      <c r="E22" s="1">
        <f t="shared" si="3"/>
        <v>-1.1547005383792517</v>
      </c>
      <c r="F22" s="1">
        <f t="shared" si="4"/>
        <v>1.0000000000000002</v>
      </c>
      <c r="G22" s="1">
        <f t="shared" si="5"/>
        <v>-0.86602540378443871</v>
      </c>
      <c r="H22" s="1">
        <f t="shared" si="6"/>
        <v>0.50000000000000011</v>
      </c>
    </row>
    <row r="23" spans="1:8" x14ac:dyDescent="0.35">
      <c r="A23" s="1">
        <v>315</v>
      </c>
      <c r="B23" s="1">
        <f t="shared" si="0"/>
        <v>5.497787143782138</v>
      </c>
      <c r="C23" s="1">
        <f t="shared" si="1"/>
        <v>-1.0000000000000004</v>
      </c>
      <c r="D23" s="1">
        <f t="shared" si="2"/>
        <v>-0.70710678118654768</v>
      </c>
      <c r="E23" s="1">
        <f t="shared" si="3"/>
        <v>-1.4142135623730947</v>
      </c>
      <c r="F23" s="1">
        <f t="shared" si="4"/>
        <v>1.4142135623730947</v>
      </c>
      <c r="G23" s="1">
        <f t="shared" si="5"/>
        <v>-1</v>
      </c>
      <c r="H23" s="1">
        <f t="shared" si="6"/>
        <v>0.70710678118654735</v>
      </c>
    </row>
    <row r="24" spans="1:8" x14ac:dyDescent="0.35">
      <c r="A24" s="1">
        <v>330</v>
      </c>
      <c r="B24" s="1">
        <f t="shared" si="0"/>
        <v>5.7595865315812871</v>
      </c>
      <c r="C24" s="1">
        <f t="shared" si="1"/>
        <v>-0.57735026918962651</v>
      </c>
      <c r="D24" s="1">
        <f t="shared" si="2"/>
        <v>-0.50000000000000044</v>
      </c>
      <c r="E24" s="1">
        <f t="shared" si="3"/>
        <v>-1.9999999999999982</v>
      </c>
      <c r="F24" s="1">
        <f t="shared" si="4"/>
        <v>1.7320508075688767</v>
      </c>
      <c r="G24" s="1">
        <f t="shared" si="5"/>
        <v>-0.86602540378443915</v>
      </c>
      <c r="H24" s="1">
        <f t="shared" si="6"/>
        <v>0.86602540378443837</v>
      </c>
    </row>
    <row r="25" spans="1:8" x14ac:dyDescent="0.35">
      <c r="A25" s="1">
        <v>345</v>
      </c>
      <c r="B25" s="1">
        <f t="shared" si="0"/>
        <v>6.0213859193804371</v>
      </c>
      <c r="C25" s="1">
        <f t="shared" si="1"/>
        <v>-0.26794919243112264</v>
      </c>
      <c r="D25" s="1">
        <f t="shared" si="2"/>
        <v>-0.25881904510252068</v>
      </c>
      <c r="E25" s="1">
        <f t="shared" si="3"/>
        <v>-3.8637033051562741</v>
      </c>
      <c r="F25" s="1">
        <f t="shared" si="4"/>
        <v>1.9318516525781366</v>
      </c>
      <c r="G25" s="1">
        <f t="shared" si="5"/>
        <v>-0.49999999999999989</v>
      </c>
      <c r="H25" s="1">
        <f t="shared" si="6"/>
        <v>0.96592582628906831</v>
      </c>
    </row>
    <row r="26" spans="1:8" x14ac:dyDescent="0.35">
      <c r="A26" s="1">
        <v>360</v>
      </c>
      <c r="B26" s="1">
        <f t="shared" si="0"/>
        <v>6.2831853071795862</v>
      </c>
      <c r="C26" s="1">
        <f t="shared" si="1"/>
        <v>-2.45029690981724E-16</v>
      </c>
      <c r="D26" s="1">
        <f t="shared" si="2"/>
        <v>-2.45029690981724E-16</v>
      </c>
      <c r="E26" s="1">
        <f t="shared" si="3"/>
        <v>-4081138069404768</v>
      </c>
      <c r="F26" s="1">
        <f t="shared" si="4"/>
        <v>2</v>
      </c>
      <c r="G26" s="1">
        <f t="shared" si="5"/>
        <v>-4.90059381963448E-16</v>
      </c>
      <c r="H26" s="1">
        <f t="shared" si="6"/>
        <v>1</v>
      </c>
    </row>
    <row r="27" spans="1:8" x14ac:dyDescent="0.35">
      <c r="A27" s="1">
        <v>375</v>
      </c>
      <c r="B27" s="1">
        <f t="shared" si="0"/>
        <v>6.5449846949787354</v>
      </c>
      <c r="C27" s="1">
        <f t="shared" si="1"/>
        <v>0.26794919243112214</v>
      </c>
      <c r="D27" s="1">
        <f t="shared" si="2"/>
        <v>0.25881904510252024</v>
      </c>
      <c r="E27" s="1">
        <f t="shared" si="3"/>
        <v>3.8637033051562808</v>
      </c>
      <c r="F27" s="1">
        <f t="shared" si="4"/>
        <v>1.9318516525781368</v>
      </c>
      <c r="G27" s="1">
        <f t="shared" si="5"/>
        <v>0.49999999999999906</v>
      </c>
      <c r="H27" s="1">
        <f t="shared" si="6"/>
        <v>0.96592582628906842</v>
      </c>
    </row>
    <row r="28" spans="1:8" x14ac:dyDescent="0.35">
      <c r="A28" s="1">
        <v>390</v>
      </c>
      <c r="B28" s="1">
        <f t="shared" si="0"/>
        <v>6.8067840827778854</v>
      </c>
      <c r="C28" s="1">
        <f t="shared" si="1"/>
        <v>0.57735026918962584</v>
      </c>
      <c r="D28" s="1">
        <f t="shared" si="2"/>
        <v>0.5</v>
      </c>
      <c r="E28" s="1">
        <f t="shared" si="3"/>
        <v>2</v>
      </c>
      <c r="F28" s="1">
        <f t="shared" si="4"/>
        <v>1.7320508075688772</v>
      </c>
      <c r="G28" s="1">
        <f t="shared" si="5"/>
        <v>0.86602540378443871</v>
      </c>
      <c r="H28" s="1">
        <f t="shared" si="6"/>
        <v>0.8660254037844386</v>
      </c>
    </row>
    <row r="29" spans="1:8" x14ac:dyDescent="0.35">
      <c r="A29" s="1">
        <v>405</v>
      </c>
      <c r="B29" s="1">
        <f t="shared" si="0"/>
        <v>7.0685834705770345</v>
      </c>
      <c r="C29" s="1">
        <f t="shared" si="1"/>
        <v>0.99999999999999944</v>
      </c>
      <c r="D29" s="1">
        <f t="shared" si="2"/>
        <v>0.70710678118654735</v>
      </c>
      <c r="E29" s="1">
        <f t="shared" si="3"/>
        <v>1.4142135623730954</v>
      </c>
      <c r="F29" s="1">
        <f t="shared" si="4"/>
        <v>1.4142135623730954</v>
      </c>
      <c r="G29" s="1">
        <f t="shared" si="5"/>
        <v>1</v>
      </c>
      <c r="H29" s="1">
        <f t="shared" si="6"/>
        <v>0.70710678118654768</v>
      </c>
    </row>
    <row r="30" spans="1:8" x14ac:dyDescent="0.35">
      <c r="A30" s="1">
        <v>420</v>
      </c>
      <c r="B30" s="1">
        <f t="shared" si="0"/>
        <v>7.3303828583761845</v>
      </c>
      <c r="C30" s="1">
        <f t="shared" si="1"/>
        <v>1.7320508075688785</v>
      </c>
      <c r="D30" s="1">
        <f t="shared" si="2"/>
        <v>0.86602540378443882</v>
      </c>
      <c r="E30" s="1">
        <f t="shared" si="3"/>
        <v>1.1547005383792512</v>
      </c>
      <c r="F30" s="1">
        <f t="shared" si="4"/>
        <v>0.99999999999999944</v>
      </c>
      <c r="G30" s="1">
        <f t="shared" si="5"/>
        <v>0.86602540378443837</v>
      </c>
      <c r="H30" s="1">
        <f t="shared" si="6"/>
        <v>0.49999999999999972</v>
      </c>
    </row>
    <row r="31" spans="1:8" x14ac:dyDescent="0.35">
      <c r="A31" s="1">
        <v>435</v>
      </c>
      <c r="B31" s="1">
        <f t="shared" si="0"/>
        <v>7.5921822461753337</v>
      </c>
      <c r="C31" s="1">
        <f t="shared" si="1"/>
        <v>3.7320508075688772</v>
      </c>
      <c r="D31" s="1">
        <f t="shared" si="2"/>
        <v>0.96592582628906831</v>
      </c>
      <c r="E31" s="1">
        <f t="shared" si="3"/>
        <v>1.035276180410083</v>
      </c>
      <c r="F31" s="1">
        <f t="shared" si="4"/>
        <v>0.51763809020504148</v>
      </c>
      <c r="G31" s="1">
        <f t="shared" si="5"/>
        <v>0.5</v>
      </c>
      <c r="H31" s="1">
        <f t="shared" si="6"/>
        <v>0.25881904510252074</v>
      </c>
    </row>
    <row r="32" spans="1:8" x14ac:dyDescent="0.35">
      <c r="A32" s="1">
        <v>450</v>
      </c>
      <c r="B32" s="1">
        <f t="shared" si="0"/>
        <v>7.8539816339744828</v>
      </c>
      <c r="C32" s="1">
        <f t="shared" si="1"/>
        <v>3264910455523814.5</v>
      </c>
      <c r="D32" s="1">
        <f t="shared" si="2"/>
        <v>1</v>
      </c>
      <c r="E32" s="1">
        <f t="shared" si="3"/>
        <v>1</v>
      </c>
      <c r="F32" s="1">
        <f t="shared" si="4"/>
        <v>6.1257422745431001E-16</v>
      </c>
      <c r="G32" s="1">
        <f t="shared" si="5"/>
        <v>6.1257422745431001E-16</v>
      </c>
      <c r="H32" s="1">
        <f t="shared" si="6"/>
        <v>3.06287113727155E-16</v>
      </c>
    </row>
    <row r="33" spans="1:8" x14ac:dyDescent="0.35">
      <c r="A33" s="1">
        <v>465</v>
      </c>
      <c r="B33" s="1">
        <f t="shared" si="0"/>
        <v>8.1157810217736319</v>
      </c>
      <c r="C33" s="1">
        <f t="shared" si="1"/>
        <v>-3.7320508075688865</v>
      </c>
      <c r="D33" s="1">
        <f t="shared" si="2"/>
        <v>0.96592582628906842</v>
      </c>
      <c r="E33" s="1">
        <f t="shared" si="3"/>
        <v>1.035276180410083</v>
      </c>
      <c r="F33" s="1">
        <f t="shared" si="4"/>
        <v>-0.51763809020504037</v>
      </c>
      <c r="G33" s="1">
        <f t="shared" si="5"/>
        <v>-0.49999999999999895</v>
      </c>
      <c r="H33" s="1">
        <f t="shared" si="6"/>
        <v>-0.25881904510252018</v>
      </c>
    </row>
    <row r="34" spans="1:8" x14ac:dyDescent="0.35">
      <c r="A34" s="1">
        <v>480</v>
      </c>
      <c r="B34" s="1">
        <f t="shared" si="0"/>
        <v>8.3775804095727811</v>
      </c>
      <c r="C34" s="1">
        <f t="shared" si="1"/>
        <v>-1.732050807568881</v>
      </c>
      <c r="D34" s="1">
        <f t="shared" si="2"/>
        <v>0.86602540378443915</v>
      </c>
      <c r="E34" s="1">
        <f t="shared" si="3"/>
        <v>1.1547005383792508</v>
      </c>
      <c r="F34" s="1">
        <f t="shared" si="4"/>
        <v>-0.99999999999999845</v>
      </c>
      <c r="G34" s="1">
        <f t="shared" si="5"/>
        <v>-0.86602540378443771</v>
      </c>
      <c r="H34" s="1">
        <f t="shared" si="6"/>
        <v>-0.49999999999999922</v>
      </c>
    </row>
    <row r="35" spans="1:8" x14ac:dyDescent="0.35">
      <c r="A35" s="1">
        <v>495</v>
      </c>
      <c r="B35" s="1">
        <f t="shared" si="0"/>
        <v>8.639379797371932</v>
      </c>
      <c r="C35" s="1">
        <f t="shared" si="1"/>
        <v>-0.99999999999999889</v>
      </c>
      <c r="D35" s="1">
        <f t="shared" si="2"/>
        <v>0.70710678118654713</v>
      </c>
      <c r="E35" s="1">
        <f t="shared" si="3"/>
        <v>1.4142135623730958</v>
      </c>
      <c r="F35" s="1">
        <f t="shared" si="4"/>
        <v>-1.4142135623730958</v>
      </c>
      <c r="G35" s="1">
        <f t="shared" si="5"/>
        <v>-1</v>
      </c>
      <c r="H35" s="1">
        <f t="shared" si="6"/>
        <v>-0.70710678118654791</v>
      </c>
    </row>
    <row r="36" spans="1:8" x14ac:dyDescent="0.35">
      <c r="A36" s="1">
        <v>510</v>
      </c>
      <c r="B36" s="1">
        <f t="shared" si="0"/>
        <v>8.9011791851710811</v>
      </c>
      <c r="C36" s="1">
        <f t="shared" si="1"/>
        <v>-0.5773502691896254</v>
      </c>
      <c r="D36" s="1">
        <f t="shared" si="2"/>
        <v>0.49999999999999978</v>
      </c>
      <c r="E36" s="1">
        <f t="shared" si="3"/>
        <v>2.0000000000000009</v>
      </c>
      <c r="F36" s="1">
        <f t="shared" si="4"/>
        <v>-1.7320508075688776</v>
      </c>
      <c r="G36" s="1">
        <f t="shared" si="5"/>
        <v>-0.86602540378443837</v>
      </c>
      <c r="H36" s="1">
        <f t="shared" si="6"/>
        <v>-0.86602540378443882</v>
      </c>
    </row>
    <row r="37" spans="1:8" x14ac:dyDescent="0.35">
      <c r="A37" s="1">
        <v>525</v>
      </c>
      <c r="B37" s="1">
        <f t="shared" si="0"/>
        <v>9.1629785729702302</v>
      </c>
      <c r="C37" s="1">
        <f t="shared" si="1"/>
        <v>-0.26794919243112275</v>
      </c>
      <c r="D37" s="1">
        <f t="shared" si="2"/>
        <v>0.25881904510252079</v>
      </c>
      <c r="E37" s="1">
        <f t="shared" si="3"/>
        <v>3.8637033051562728</v>
      </c>
      <c r="F37" s="1">
        <f t="shared" si="4"/>
        <v>-1.9318516525781366</v>
      </c>
      <c r="G37" s="1">
        <f t="shared" si="5"/>
        <v>-0.50000000000000011</v>
      </c>
      <c r="H37" s="1">
        <f t="shared" si="6"/>
        <v>-0.96592582628906831</v>
      </c>
    </row>
    <row r="38" spans="1:8" x14ac:dyDescent="0.35">
      <c r="A38" s="1">
        <v>540</v>
      </c>
      <c r="B38" s="1">
        <f t="shared" si="0"/>
        <v>9.4247779607693793</v>
      </c>
      <c r="C38" s="1">
        <f t="shared" si="1"/>
        <v>-3.67544536472586E-16</v>
      </c>
      <c r="D38" s="1">
        <f t="shared" si="2"/>
        <v>3.67544536472586E-16</v>
      </c>
      <c r="E38" s="1">
        <f t="shared" si="3"/>
        <v>2720758712936512</v>
      </c>
      <c r="F38" s="1">
        <f t="shared" si="4"/>
        <v>-2</v>
      </c>
      <c r="G38" s="1">
        <f t="shared" si="5"/>
        <v>-7.3508907294517201E-16</v>
      </c>
      <c r="H38" s="1">
        <f t="shared" si="6"/>
        <v>-1</v>
      </c>
    </row>
    <row r="39" spans="1:8" x14ac:dyDescent="0.35">
      <c r="A39" s="1">
        <v>555</v>
      </c>
      <c r="B39" s="1">
        <f t="shared" si="0"/>
        <v>9.6865773485685285</v>
      </c>
      <c r="C39" s="1">
        <f t="shared" si="1"/>
        <v>0.26794919243112197</v>
      </c>
      <c r="D39" s="1">
        <f t="shared" si="2"/>
        <v>-0.25881904510252013</v>
      </c>
      <c r="E39" s="1">
        <f t="shared" si="3"/>
        <v>-3.8637033051562826</v>
      </c>
      <c r="F39" s="1">
        <f t="shared" si="4"/>
        <v>-1.9318516525781368</v>
      </c>
      <c r="G39" s="1">
        <f t="shared" si="5"/>
        <v>0.49999999999999883</v>
      </c>
      <c r="H39" s="1">
        <f t="shared" si="6"/>
        <v>-0.96592582628906842</v>
      </c>
    </row>
    <row r="40" spans="1:8" x14ac:dyDescent="0.35">
      <c r="A40" s="1">
        <v>570</v>
      </c>
      <c r="B40" s="1">
        <f t="shared" si="0"/>
        <v>9.9483767363676776</v>
      </c>
      <c r="C40" s="1">
        <f t="shared" si="1"/>
        <v>0.57735026918962451</v>
      </c>
      <c r="D40" s="1">
        <f t="shared" si="2"/>
        <v>-0.49999999999999917</v>
      </c>
      <c r="E40" s="1">
        <f t="shared" si="3"/>
        <v>-2.0000000000000036</v>
      </c>
      <c r="F40" s="1">
        <f t="shared" si="4"/>
        <v>-1.7320508075688783</v>
      </c>
      <c r="G40" s="1">
        <f t="shared" si="5"/>
        <v>0.86602540378443771</v>
      </c>
      <c r="H40" s="1">
        <f t="shared" si="6"/>
        <v>-0.86602540378443915</v>
      </c>
    </row>
    <row r="41" spans="1:8" x14ac:dyDescent="0.35">
      <c r="A41" s="1">
        <v>585</v>
      </c>
      <c r="B41" s="1">
        <f t="shared" si="0"/>
        <v>10.210176124166829</v>
      </c>
      <c r="C41" s="1">
        <f t="shared" si="1"/>
        <v>1.0000000000000009</v>
      </c>
      <c r="D41" s="1">
        <f t="shared" si="2"/>
        <v>-0.70710678118654791</v>
      </c>
      <c r="E41" s="1">
        <f t="shared" si="3"/>
        <v>-1.4142135623730943</v>
      </c>
      <c r="F41" s="1">
        <f t="shared" si="4"/>
        <v>-1.4142135623730943</v>
      </c>
      <c r="G41" s="1">
        <f t="shared" si="5"/>
        <v>1</v>
      </c>
      <c r="H41" s="1">
        <f t="shared" si="6"/>
        <v>-0.70710678118654713</v>
      </c>
    </row>
    <row r="42" spans="1:8" x14ac:dyDescent="0.35">
      <c r="A42" s="1">
        <v>600</v>
      </c>
      <c r="B42" s="1">
        <f t="shared" si="0"/>
        <v>10.471975511965978</v>
      </c>
      <c r="C42" s="1">
        <f t="shared" si="1"/>
        <v>1.7320508075688781</v>
      </c>
      <c r="D42" s="1">
        <f t="shared" si="2"/>
        <v>-0.86602540378443871</v>
      </c>
      <c r="E42" s="1">
        <f t="shared" si="3"/>
        <v>-1.1547005383792515</v>
      </c>
      <c r="F42" s="1">
        <f t="shared" si="4"/>
        <v>-0.99999999999999967</v>
      </c>
      <c r="G42" s="1">
        <f t="shared" si="5"/>
        <v>0.86602540378443849</v>
      </c>
      <c r="H42" s="1">
        <f t="shared" si="6"/>
        <v>-0.49999999999999983</v>
      </c>
    </row>
    <row r="43" spans="1:8" x14ac:dyDescent="0.35">
      <c r="A43" s="1">
        <v>615</v>
      </c>
      <c r="B43" s="1">
        <f t="shared" si="0"/>
        <v>10.733774899765127</v>
      </c>
      <c r="C43" s="1">
        <f t="shared" si="1"/>
        <v>3.7320508075688754</v>
      </c>
      <c r="D43" s="1">
        <f t="shared" si="2"/>
        <v>-0.9659258262890682</v>
      </c>
      <c r="E43" s="1">
        <f t="shared" si="3"/>
        <v>-1.0352761804100832</v>
      </c>
      <c r="F43" s="1">
        <f t="shared" si="4"/>
        <v>-0.51763809020504181</v>
      </c>
      <c r="G43" s="1">
        <f t="shared" si="5"/>
        <v>0.50000000000000022</v>
      </c>
      <c r="H43" s="1">
        <f t="shared" si="6"/>
        <v>-0.25881904510252091</v>
      </c>
    </row>
    <row r="44" spans="1:8" x14ac:dyDescent="0.35">
      <c r="A44" s="1">
        <v>630</v>
      </c>
      <c r="B44" s="1">
        <f t="shared" si="0"/>
        <v>10.995574287564276</v>
      </c>
      <c r="C44" s="1">
        <f t="shared" si="1"/>
        <v>2332078896802724.5</v>
      </c>
      <c r="D44" s="1">
        <f t="shared" si="2"/>
        <v>-1</v>
      </c>
      <c r="E44" s="1">
        <f t="shared" si="3"/>
        <v>-1</v>
      </c>
      <c r="F44" s="1">
        <f t="shared" si="4"/>
        <v>-8.5760391843603401E-16</v>
      </c>
      <c r="G44" s="1">
        <f t="shared" si="5"/>
        <v>8.5760391843603401E-16</v>
      </c>
      <c r="H44" s="1">
        <f t="shared" si="6"/>
        <v>-4.28801959218017E-16</v>
      </c>
    </row>
    <row r="45" spans="1:8" x14ac:dyDescent="0.35">
      <c r="A45" s="1">
        <v>645</v>
      </c>
      <c r="B45" s="1">
        <f t="shared" si="0"/>
        <v>11.257373675363425</v>
      </c>
      <c r="C45" s="1">
        <f t="shared" si="1"/>
        <v>-3.7320508075688883</v>
      </c>
      <c r="D45" s="1">
        <f t="shared" si="2"/>
        <v>-0.96592582628906842</v>
      </c>
      <c r="E45" s="1">
        <f t="shared" si="3"/>
        <v>-1.035276180410083</v>
      </c>
      <c r="F45" s="1">
        <f t="shared" si="4"/>
        <v>0.51763809020504015</v>
      </c>
      <c r="G45" s="1">
        <f t="shared" si="5"/>
        <v>-0.49999999999999872</v>
      </c>
      <c r="H45" s="1">
        <f t="shared" si="6"/>
        <v>0.25881904510252007</v>
      </c>
    </row>
    <row r="46" spans="1:8" x14ac:dyDescent="0.35">
      <c r="A46" s="1">
        <v>660</v>
      </c>
      <c r="B46" s="1">
        <f t="shared" si="0"/>
        <v>11.519173063162574</v>
      </c>
      <c r="C46" s="1">
        <f t="shared" si="1"/>
        <v>-1.7320508075688814</v>
      </c>
      <c r="D46" s="1">
        <f t="shared" si="2"/>
        <v>-0.86602540378443915</v>
      </c>
      <c r="E46" s="1">
        <f t="shared" si="3"/>
        <v>-1.1547005383792508</v>
      </c>
      <c r="F46" s="1">
        <f t="shared" si="4"/>
        <v>0.99999999999999822</v>
      </c>
      <c r="G46" s="1">
        <f t="shared" si="5"/>
        <v>-0.8660254037844376</v>
      </c>
      <c r="H46" s="1">
        <f t="shared" si="6"/>
        <v>0.49999999999999911</v>
      </c>
    </row>
    <row r="47" spans="1:8" x14ac:dyDescent="0.35">
      <c r="A47" s="1">
        <v>675</v>
      </c>
      <c r="B47" s="1">
        <f t="shared" si="0"/>
        <v>11.780972450961725</v>
      </c>
      <c r="C47" s="1">
        <f t="shared" si="1"/>
        <v>-0.99999999999999911</v>
      </c>
      <c r="D47" s="1">
        <f t="shared" si="2"/>
        <v>-0.70710678118654724</v>
      </c>
      <c r="E47" s="1">
        <f t="shared" si="3"/>
        <v>-1.4142135623730956</v>
      </c>
      <c r="F47" s="1">
        <f t="shared" si="4"/>
        <v>1.4142135623730956</v>
      </c>
      <c r="G47" s="1">
        <f t="shared" si="5"/>
        <v>-1</v>
      </c>
      <c r="H47" s="1">
        <f t="shared" si="6"/>
        <v>0.70710678118654779</v>
      </c>
    </row>
    <row r="48" spans="1:8" x14ac:dyDescent="0.35">
      <c r="A48" s="1">
        <v>690</v>
      </c>
      <c r="B48" s="1">
        <f t="shared" si="0"/>
        <v>12.042771838760874</v>
      </c>
      <c r="C48" s="1">
        <f t="shared" si="1"/>
        <v>-0.57735026918962562</v>
      </c>
      <c r="D48" s="1">
        <f t="shared" si="2"/>
        <v>-0.49999999999999989</v>
      </c>
      <c r="E48" s="1">
        <f t="shared" si="3"/>
        <v>-2.0000000000000004</v>
      </c>
      <c r="F48" s="1">
        <f t="shared" si="4"/>
        <v>1.7320508075688774</v>
      </c>
      <c r="G48" s="1">
        <f t="shared" si="5"/>
        <v>-0.86602540378443849</v>
      </c>
      <c r="H48" s="1">
        <f t="shared" si="6"/>
        <v>0.86602540378443871</v>
      </c>
    </row>
    <row r="49" spans="1:8" x14ac:dyDescent="0.35">
      <c r="A49" s="1">
        <v>705</v>
      </c>
      <c r="B49" s="1">
        <f t="shared" si="0"/>
        <v>12.304571226560023</v>
      </c>
      <c r="C49" s="1">
        <f t="shared" si="1"/>
        <v>-0.26794919243112292</v>
      </c>
      <c r="D49" s="1">
        <f t="shared" si="2"/>
        <v>-0.25881904510252096</v>
      </c>
      <c r="E49" s="1">
        <f t="shared" si="3"/>
        <v>-3.8637033051562701</v>
      </c>
      <c r="F49" s="1">
        <f t="shared" si="4"/>
        <v>1.9318516525781364</v>
      </c>
      <c r="G49" s="1">
        <f t="shared" si="5"/>
        <v>-0.50000000000000033</v>
      </c>
      <c r="H49" s="1">
        <f t="shared" si="6"/>
        <v>0.9659258262890682</v>
      </c>
    </row>
    <row r="50" spans="1:8" x14ac:dyDescent="0.35">
      <c r="A50" s="1">
        <v>720</v>
      </c>
      <c r="B50" s="1">
        <f t="shared" si="0"/>
        <v>12.566370614359172</v>
      </c>
      <c r="C50" s="1">
        <f t="shared" si="1"/>
        <v>-4.90059381963448E-16</v>
      </c>
      <c r="D50" s="1">
        <f t="shared" si="2"/>
        <v>-4.90059381963448E-16</v>
      </c>
      <c r="E50" s="1">
        <f t="shared" si="3"/>
        <v>-2040569034702384</v>
      </c>
      <c r="F50" s="1">
        <f t="shared" si="4"/>
        <v>2</v>
      </c>
      <c r="G50" s="1">
        <f t="shared" si="5"/>
        <v>-9.8011876392689601E-16</v>
      </c>
      <c r="H50" s="1">
        <f t="shared" si="6"/>
        <v>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7BC83-6E13-42FD-8E01-94AE034545F1}">
  <dimension ref="A1:H50"/>
  <sheetViews>
    <sheetView zoomScale="90" zoomScaleNormal="90" workbookViewId="0">
      <selection activeCell="C8" sqref="C8"/>
    </sheetView>
  </sheetViews>
  <sheetFormatPr defaultRowHeight="14.5" x14ac:dyDescent="0.35"/>
  <cols>
    <col min="1" max="1" width="8.7265625" style="1"/>
    <col min="2" max="2" width="12.26953125" style="1" bestFit="1" customWidth="1"/>
    <col min="3" max="3" width="18.81640625" style="1" bestFit="1" customWidth="1"/>
    <col min="4" max="4" width="12.90625" style="1" bestFit="1" customWidth="1"/>
    <col min="5" max="5" width="12.6328125" style="1" hidden="1" customWidth="1"/>
    <col min="6" max="7" width="6.90625" style="1" hidden="1" customWidth="1"/>
    <col min="8" max="8" width="6.90625" style="1" customWidth="1"/>
  </cols>
  <sheetData>
    <row r="1" spans="1:8" x14ac:dyDescent="0.35">
      <c r="A1" s="1" t="s">
        <v>0</v>
      </c>
      <c r="B1" s="1" t="s">
        <v>1</v>
      </c>
      <c r="C1" s="1" t="s">
        <v>11</v>
      </c>
      <c r="D1" s="1" t="s">
        <v>12</v>
      </c>
      <c r="E1" s="1" t="s">
        <v>13</v>
      </c>
      <c r="F1" s="1" t="s">
        <v>5</v>
      </c>
      <c r="G1" s="1" t="s">
        <v>6</v>
      </c>
      <c r="H1" s="1" t="s">
        <v>14</v>
      </c>
    </row>
    <row r="2" spans="1:8" x14ac:dyDescent="0.35">
      <c r="A2" s="1">
        <v>0</v>
      </c>
      <c r="B2" s="11">
        <f>RADIANS(A2)</f>
        <v>0</v>
      </c>
      <c r="C2" s="11">
        <f>TAN(B2)</f>
        <v>0</v>
      </c>
      <c r="D2" s="11">
        <f>SIN(B2)</f>
        <v>0</v>
      </c>
      <c r="E2" s="11" t="e">
        <f>_xlfn.CSC(B2)</f>
        <v>#DIV/0!</v>
      </c>
      <c r="F2" s="11">
        <f>2*COS(B2)</f>
        <v>2</v>
      </c>
      <c r="G2" s="11">
        <f>SIN(2*B2)</f>
        <v>0</v>
      </c>
      <c r="H2" s="11">
        <f>COS(B2)</f>
        <v>1</v>
      </c>
    </row>
    <row r="3" spans="1:8" x14ac:dyDescent="0.35">
      <c r="A3" s="1">
        <v>15</v>
      </c>
      <c r="B3" s="11">
        <f t="shared" ref="B3:B50" si="0">RADIANS(A3)</f>
        <v>0.26179938779914941</v>
      </c>
      <c r="C3" s="11">
        <f t="shared" ref="C3:C50" si="1">TAN(B3)</f>
        <v>0.2679491924311227</v>
      </c>
      <c r="D3" s="11">
        <f t="shared" ref="D3:D50" si="2">SIN(B3)</f>
        <v>0.25881904510252074</v>
      </c>
      <c r="E3" s="11">
        <f t="shared" ref="E3:E50" si="3">_xlfn.CSC(B3)</f>
        <v>3.8637033051562737</v>
      </c>
      <c r="F3" s="11">
        <f t="shared" ref="F3:F50" si="4">2*COS(B3)</f>
        <v>1.9318516525781366</v>
      </c>
      <c r="G3" s="11">
        <f t="shared" ref="G3:G50" si="5">SIN(2*B3)</f>
        <v>0.49999999999999994</v>
      </c>
      <c r="H3" s="11">
        <f t="shared" ref="H3:H50" si="6">COS(B3)</f>
        <v>0.96592582628906831</v>
      </c>
    </row>
    <row r="4" spans="1:8" x14ac:dyDescent="0.35">
      <c r="A4" s="1">
        <v>30</v>
      </c>
      <c r="B4" s="11">
        <f t="shared" si="0"/>
        <v>0.52359877559829882</v>
      </c>
      <c r="C4" s="11">
        <f t="shared" si="1"/>
        <v>0.57735026918962573</v>
      </c>
      <c r="D4" s="11">
        <f t="shared" si="2"/>
        <v>0.49999999999999994</v>
      </c>
      <c r="E4" s="11">
        <f t="shared" si="3"/>
        <v>2</v>
      </c>
      <c r="F4" s="11">
        <f t="shared" si="4"/>
        <v>1.7320508075688774</v>
      </c>
      <c r="G4" s="11">
        <f t="shared" si="5"/>
        <v>0.8660254037844386</v>
      </c>
      <c r="H4" s="11">
        <f t="shared" si="6"/>
        <v>0.86602540378443871</v>
      </c>
    </row>
    <row r="5" spans="1:8" x14ac:dyDescent="0.35">
      <c r="A5" s="1">
        <v>45</v>
      </c>
      <c r="B5" s="11">
        <f t="shared" si="0"/>
        <v>0.78539816339744828</v>
      </c>
      <c r="C5" s="11">
        <f t="shared" si="1"/>
        <v>0.99999999999999989</v>
      </c>
      <c r="D5" s="11">
        <f t="shared" si="2"/>
        <v>0.70710678118654746</v>
      </c>
      <c r="E5" s="11">
        <f t="shared" si="3"/>
        <v>1.4142135623730951</v>
      </c>
      <c r="F5" s="11">
        <f t="shared" si="4"/>
        <v>1.4142135623730951</v>
      </c>
      <c r="G5" s="11">
        <f t="shared" si="5"/>
        <v>1</v>
      </c>
      <c r="H5" s="11">
        <f t="shared" si="6"/>
        <v>0.70710678118654757</v>
      </c>
    </row>
    <row r="6" spans="1:8" x14ac:dyDescent="0.35">
      <c r="A6" s="1">
        <v>60</v>
      </c>
      <c r="B6" s="11">
        <f t="shared" si="0"/>
        <v>1.0471975511965976</v>
      </c>
      <c r="C6" s="11">
        <f t="shared" si="1"/>
        <v>1.7320508075688767</v>
      </c>
      <c r="D6" s="11">
        <f t="shared" si="2"/>
        <v>0.8660254037844386</v>
      </c>
      <c r="E6" s="11">
        <f t="shared" si="3"/>
        <v>1.1547005383792517</v>
      </c>
      <c r="F6" s="11">
        <f t="shared" si="4"/>
        <v>1.0000000000000002</v>
      </c>
      <c r="G6" s="11">
        <f t="shared" si="5"/>
        <v>0.86602540378443871</v>
      </c>
      <c r="H6" s="11">
        <f t="shared" si="6"/>
        <v>0.50000000000000011</v>
      </c>
    </row>
    <row r="7" spans="1:8" x14ac:dyDescent="0.35">
      <c r="A7" s="1">
        <v>75</v>
      </c>
      <c r="B7" s="11">
        <f t="shared" si="0"/>
        <v>1.3089969389957472</v>
      </c>
      <c r="C7" s="11">
        <f t="shared" si="1"/>
        <v>3.7320508075688776</v>
      </c>
      <c r="D7" s="11">
        <f t="shared" si="2"/>
        <v>0.96592582628906831</v>
      </c>
      <c r="E7" s="11">
        <f t="shared" si="3"/>
        <v>1.035276180410083</v>
      </c>
      <c r="F7" s="11">
        <f t="shared" si="4"/>
        <v>0.51763809020504148</v>
      </c>
      <c r="G7" s="11">
        <f t="shared" si="5"/>
        <v>0.49999999999999994</v>
      </c>
      <c r="H7" s="11">
        <f t="shared" si="6"/>
        <v>0.25881904510252074</v>
      </c>
    </row>
    <row r="8" spans="1:8" x14ac:dyDescent="0.35">
      <c r="A8" s="1">
        <v>90</v>
      </c>
      <c r="B8" s="11">
        <f t="shared" si="0"/>
        <v>1.5707963267948966</v>
      </c>
      <c r="C8" s="12">
        <f t="shared" si="1"/>
        <v>1.6324552277619072E+16</v>
      </c>
      <c r="D8" s="11">
        <f t="shared" si="2"/>
        <v>1</v>
      </c>
      <c r="E8" s="11">
        <f t="shared" si="3"/>
        <v>1</v>
      </c>
      <c r="F8" s="11">
        <f t="shared" si="4"/>
        <v>1.22514845490862E-16</v>
      </c>
      <c r="G8" s="11">
        <f t="shared" si="5"/>
        <v>1.22514845490862E-16</v>
      </c>
      <c r="H8" s="11">
        <f t="shared" si="6"/>
        <v>6.1257422745431001E-17</v>
      </c>
    </row>
    <row r="9" spans="1:8" x14ac:dyDescent="0.35">
      <c r="A9" s="1">
        <v>105</v>
      </c>
      <c r="B9" s="11">
        <f t="shared" si="0"/>
        <v>1.8325957145940461</v>
      </c>
      <c r="C9" s="11">
        <f t="shared" si="1"/>
        <v>-3.7320508075688763</v>
      </c>
      <c r="D9" s="11">
        <f t="shared" si="2"/>
        <v>0.96592582628906831</v>
      </c>
      <c r="E9" s="11">
        <f t="shared" si="3"/>
        <v>1.035276180410083</v>
      </c>
      <c r="F9" s="11">
        <f t="shared" si="4"/>
        <v>-0.5176380902050417</v>
      </c>
      <c r="G9" s="11">
        <f t="shared" si="5"/>
        <v>-0.50000000000000011</v>
      </c>
      <c r="H9" s="11">
        <f t="shared" si="6"/>
        <v>-0.25881904510252085</v>
      </c>
    </row>
    <row r="10" spans="1:8" x14ac:dyDescent="0.35">
      <c r="A10" s="1">
        <v>120</v>
      </c>
      <c r="B10" s="11">
        <f t="shared" si="0"/>
        <v>2.0943951023931953</v>
      </c>
      <c r="C10" s="11">
        <f t="shared" si="1"/>
        <v>-1.7320508075688783</v>
      </c>
      <c r="D10" s="11">
        <f t="shared" si="2"/>
        <v>0.86602540378443871</v>
      </c>
      <c r="E10" s="11">
        <f t="shared" si="3"/>
        <v>1.1547005383792515</v>
      </c>
      <c r="F10" s="11">
        <f t="shared" si="4"/>
        <v>-0.99999999999999956</v>
      </c>
      <c r="G10" s="11">
        <f t="shared" si="5"/>
        <v>-0.86602540378443837</v>
      </c>
      <c r="H10" s="11">
        <f t="shared" si="6"/>
        <v>-0.49999999999999978</v>
      </c>
    </row>
    <row r="11" spans="1:8" x14ac:dyDescent="0.35">
      <c r="A11" s="1">
        <v>135</v>
      </c>
      <c r="B11" s="11">
        <f t="shared" si="0"/>
        <v>2.3561944901923448</v>
      </c>
      <c r="C11" s="11">
        <f t="shared" si="1"/>
        <v>-1.0000000000000002</v>
      </c>
      <c r="D11" s="11">
        <f t="shared" si="2"/>
        <v>0.70710678118654757</v>
      </c>
      <c r="E11" s="11">
        <f t="shared" si="3"/>
        <v>1.4142135623730949</v>
      </c>
      <c r="F11" s="11">
        <f t="shared" si="4"/>
        <v>-1.4142135623730949</v>
      </c>
      <c r="G11" s="11">
        <f t="shared" si="5"/>
        <v>-1</v>
      </c>
      <c r="H11" s="11">
        <f t="shared" si="6"/>
        <v>-0.70710678118654746</v>
      </c>
    </row>
    <row r="12" spans="1:8" x14ac:dyDescent="0.35">
      <c r="A12" s="1">
        <v>150</v>
      </c>
      <c r="B12" s="11">
        <f t="shared" si="0"/>
        <v>2.6179938779914944</v>
      </c>
      <c r="C12" s="11">
        <f t="shared" si="1"/>
        <v>-0.57735026918962573</v>
      </c>
      <c r="D12" s="11">
        <f t="shared" si="2"/>
        <v>0.49999999999999994</v>
      </c>
      <c r="E12" s="11">
        <f t="shared" si="3"/>
        <v>2</v>
      </c>
      <c r="F12" s="11">
        <f t="shared" si="4"/>
        <v>-1.7320508075688774</v>
      </c>
      <c r="G12" s="11">
        <f t="shared" si="5"/>
        <v>-0.8660254037844386</v>
      </c>
      <c r="H12" s="11">
        <f t="shared" si="6"/>
        <v>-0.86602540378443871</v>
      </c>
    </row>
    <row r="13" spans="1:8" x14ac:dyDescent="0.35">
      <c r="A13" s="1">
        <v>165</v>
      </c>
      <c r="B13" s="11">
        <f t="shared" si="0"/>
        <v>2.8797932657906435</v>
      </c>
      <c r="C13" s="11">
        <f t="shared" si="1"/>
        <v>-0.26794919243112297</v>
      </c>
      <c r="D13" s="11">
        <f t="shared" si="2"/>
        <v>0.25881904510252102</v>
      </c>
      <c r="E13" s="11">
        <f t="shared" si="3"/>
        <v>3.8637033051562693</v>
      </c>
      <c r="F13" s="11">
        <f t="shared" si="4"/>
        <v>-1.9318516525781364</v>
      </c>
      <c r="G13" s="11">
        <f t="shared" si="5"/>
        <v>-0.50000000000000044</v>
      </c>
      <c r="H13" s="11">
        <f t="shared" si="6"/>
        <v>-0.9659258262890682</v>
      </c>
    </row>
    <row r="14" spans="1:8" x14ac:dyDescent="0.35">
      <c r="A14" s="1">
        <v>180</v>
      </c>
      <c r="B14" s="11">
        <f t="shared" si="0"/>
        <v>3.1415926535897931</v>
      </c>
      <c r="C14" s="11">
        <f t="shared" si="1"/>
        <v>-1.22514845490862E-16</v>
      </c>
      <c r="D14" s="11">
        <f t="shared" si="2"/>
        <v>1.22514845490862E-16</v>
      </c>
      <c r="E14" s="11">
        <f t="shared" si="3"/>
        <v>8162276138809536</v>
      </c>
      <c r="F14" s="11">
        <f t="shared" si="4"/>
        <v>-2</v>
      </c>
      <c r="G14" s="11">
        <f t="shared" si="5"/>
        <v>-2.45029690981724E-16</v>
      </c>
      <c r="H14" s="11">
        <f t="shared" si="6"/>
        <v>-1</v>
      </c>
    </row>
    <row r="15" spans="1:8" x14ac:dyDescent="0.35">
      <c r="A15" s="1">
        <v>195</v>
      </c>
      <c r="B15" s="11">
        <f t="shared" si="0"/>
        <v>3.4033920413889427</v>
      </c>
      <c r="C15" s="11">
        <f t="shared" si="1"/>
        <v>0.2679491924311227</v>
      </c>
      <c r="D15" s="11">
        <f t="shared" si="2"/>
        <v>-0.25881904510252079</v>
      </c>
      <c r="E15" s="11">
        <f t="shared" si="3"/>
        <v>-3.8637033051562728</v>
      </c>
      <c r="F15" s="11">
        <f t="shared" si="4"/>
        <v>-1.9318516525781366</v>
      </c>
      <c r="G15" s="11">
        <f t="shared" si="5"/>
        <v>0.5</v>
      </c>
      <c r="H15" s="11">
        <f t="shared" si="6"/>
        <v>-0.96592582628906831</v>
      </c>
    </row>
    <row r="16" spans="1:8" x14ac:dyDescent="0.35">
      <c r="A16" s="1">
        <v>210</v>
      </c>
      <c r="B16" s="11">
        <f t="shared" si="0"/>
        <v>3.6651914291880923</v>
      </c>
      <c r="C16" s="11">
        <f t="shared" si="1"/>
        <v>0.57735026918962595</v>
      </c>
      <c r="D16" s="11">
        <f t="shared" si="2"/>
        <v>-0.50000000000000011</v>
      </c>
      <c r="E16" s="11">
        <f t="shared" si="3"/>
        <v>-1.9999999999999996</v>
      </c>
      <c r="F16" s="11">
        <f t="shared" si="4"/>
        <v>-1.7320508075688772</v>
      </c>
      <c r="G16" s="11">
        <f t="shared" si="5"/>
        <v>0.86602540378443882</v>
      </c>
      <c r="H16" s="11">
        <f t="shared" si="6"/>
        <v>-0.8660254037844386</v>
      </c>
    </row>
    <row r="17" spans="1:8" x14ac:dyDescent="0.35">
      <c r="A17" s="1">
        <v>225</v>
      </c>
      <c r="B17" s="11">
        <f t="shared" si="0"/>
        <v>3.9269908169872414</v>
      </c>
      <c r="C17" s="11">
        <f t="shared" si="1"/>
        <v>0.99999999999999967</v>
      </c>
      <c r="D17" s="11">
        <f t="shared" si="2"/>
        <v>-0.70710678118654746</v>
      </c>
      <c r="E17" s="11">
        <f t="shared" si="3"/>
        <v>-1.4142135623730951</v>
      </c>
      <c r="F17" s="11">
        <f t="shared" si="4"/>
        <v>-1.4142135623730954</v>
      </c>
      <c r="G17" s="11">
        <f t="shared" si="5"/>
        <v>1</v>
      </c>
      <c r="H17" s="11">
        <f t="shared" si="6"/>
        <v>-0.70710678118654768</v>
      </c>
    </row>
    <row r="18" spans="1:8" x14ac:dyDescent="0.35">
      <c r="A18" s="1">
        <v>240</v>
      </c>
      <c r="B18" s="11">
        <f t="shared" si="0"/>
        <v>4.1887902047863905</v>
      </c>
      <c r="C18" s="11">
        <f t="shared" si="1"/>
        <v>1.7320508075688754</v>
      </c>
      <c r="D18" s="11">
        <f t="shared" si="2"/>
        <v>-0.86602540378443837</v>
      </c>
      <c r="E18" s="11">
        <f t="shared" si="3"/>
        <v>-1.1547005383792519</v>
      </c>
      <c r="F18" s="11">
        <f t="shared" si="4"/>
        <v>-1.0000000000000009</v>
      </c>
      <c r="G18" s="11">
        <f t="shared" si="5"/>
        <v>0.86602540378443915</v>
      </c>
      <c r="H18" s="11">
        <f t="shared" si="6"/>
        <v>-0.50000000000000044</v>
      </c>
    </row>
    <row r="19" spans="1:8" x14ac:dyDescent="0.35">
      <c r="A19" s="1">
        <v>255</v>
      </c>
      <c r="B19" s="11">
        <f t="shared" si="0"/>
        <v>4.4505895925855405</v>
      </c>
      <c r="C19" s="11">
        <f t="shared" si="1"/>
        <v>3.732050807568879</v>
      </c>
      <c r="D19" s="11">
        <f t="shared" si="2"/>
        <v>-0.96592582628906831</v>
      </c>
      <c r="E19" s="11">
        <f t="shared" si="3"/>
        <v>-1.035276180410083</v>
      </c>
      <c r="F19" s="11">
        <f t="shared" si="4"/>
        <v>-0.51763809020504126</v>
      </c>
      <c r="G19" s="11">
        <f t="shared" si="5"/>
        <v>0.49999999999999978</v>
      </c>
      <c r="H19" s="11">
        <f t="shared" si="6"/>
        <v>-0.25881904510252063</v>
      </c>
    </row>
    <row r="20" spans="1:8" x14ac:dyDescent="0.35">
      <c r="A20" s="1">
        <v>270</v>
      </c>
      <c r="B20" s="11">
        <f t="shared" si="0"/>
        <v>4.7123889803846897</v>
      </c>
      <c r="C20" s="11">
        <f t="shared" si="1"/>
        <v>5441517425873024</v>
      </c>
      <c r="D20" s="11">
        <f t="shared" si="2"/>
        <v>-1</v>
      </c>
      <c r="E20" s="11">
        <f t="shared" si="3"/>
        <v>-1</v>
      </c>
      <c r="F20" s="11">
        <f t="shared" si="4"/>
        <v>-3.67544536472586E-16</v>
      </c>
      <c r="G20" s="11">
        <f t="shared" si="5"/>
        <v>3.67544536472586E-16</v>
      </c>
      <c r="H20" s="11">
        <f t="shared" si="6"/>
        <v>-1.83772268236293E-16</v>
      </c>
    </row>
    <row r="21" spans="1:8" x14ac:dyDescent="0.35">
      <c r="A21" s="1">
        <v>285</v>
      </c>
      <c r="B21" s="11">
        <f t="shared" si="0"/>
        <v>4.9741883681838388</v>
      </c>
      <c r="C21" s="11">
        <f t="shared" si="1"/>
        <v>-3.7320508075688847</v>
      </c>
      <c r="D21" s="11">
        <f t="shared" si="2"/>
        <v>-0.96592582628906842</v>
      </c>
      <c r="E21" s="11">
        <f t="shared" si="3"/>
        <v>-1.035276180410083</v>
      </c>
      <c r="F21" s="11">
        <f t="shared" si="4"/>
        <v>0.51763809020504059</v>
      </c>
      <c r="G21" s="11">
        <f t="shared" si="5"/>
        <v>-0.49999999999999917</v>
      </c>
      <c r="H21" s="11">
        <f t="shared" si="6"/>
        <v>0.2588190451025203</v>
      </c>
    </row>
    <row r="22" spans="1:8" x14ac:dyDescent="0.35">
      <c r="A22" s="1">
        <v>300</v>
      </c>
      <c r="B22" s="11">
        <f t="shared" si="0"/>
        <v>5.2359877559829888</v>
      </c>
      <c r="C22" s="11">
        <f t="shared" si="1"/>
        <v>-1.732050807568877</v>
      </c>
      <c r="D22" s="11">
        <f t="shared" si="2"/>
        <v>-0.8660254037844386</v>
      </c>
      <c r="E22" s="11">
        <f t="shared" si="3"/>
        <v>-1.1547005383792517</v>
      </c>
      <c r="F22" s="11">
        <f t="shared" si="4"/>
        <v>1.0000000000000002</v>
      </c>
      <c r="G22" s="11">
        <f t="shared" si="5"/>
        <v>-0.86602540378443871</v>
      </c>
      <c r="H22" s="11">
        <f t="shared" si="6"/>
        <v>0.50000000000000011</v>
      </c>
    </row>
    <row r="23" spans="1:8" x14ac:dyDescent="0.35">
      <c r="A23" s="1">
        <v>315</v>
      </c>
      <c r="B23" s="11">
        <f t="shared" si="0"/>
        <v>5.497787143782138</v>
      </c>
      <c r="C23" s="11">
        <f t="shared" si="1"/>
        <v>-1.0000000000000004</v>
      </c>
      <c r="D23" s="11">
        <f t="shared" si="2"/>
        <v>-0.70710678118654768</v>
      </c>
      <c r="E23" s="11">
        <f t="shared" si="3"/>
        <v>-1.4142135623730947</v>
      </c>
      <c r="F23" s="11">
        <f t="shared" si="4"/>
        <v>1.4142135623730947</v>
      </c>
      <c r="G23" s="11">
        <f t="shared" si="5"/>
        <v>-1</v>
      </c>
      <c r="H23" s="11">
        <f t="shared" si="6"/>
        <v>0.70710678118654735</v>
      </c>
    </row>
    <row r="24" spans="1:8" x14ac:dyDescent="0.35">
      <c r="A24" s="1">
        <v>330</v>
      </c>
      <c r="B24" s="11">
        <f t="shared" si="0"/>
        <v>5.7595865315812871</v>
      </c>
      <c r="C24" s="11">
        <f t="shared" si="1"/>
        <v>-0.57735026918962651</v>
      </c>
      <c r="D24" s="11">
        <f t="shared" si="2"/>
        <v>-0.50000000000000044</v>
      </c>
      <c r="E24" s="11">
        <f t="shared" si="3"/>
        <v>-1.9999999999999982</v>
      </c>
      <c r="F24" s="11">
        <f t="shared" si="4"/>
        <v>1.7320508075688767</v>
      </c>
      <c r="G24" s="11">
        <f t="shared" si="5"/>
        <v>-0.86602540378443915</v>
      </c>
      <c r="H24" s="11">
        <f t="shared" si="6"/>
        <v>0.86602540378443837</v>
      </c>
    </row>
    <row r="25" spans="1:8" x14ac:dyDescent="0.35">
      <c r="A25" s="1">
        <v>345</v>
      </c>
      <c r="B25" s="11">
        <f t="shared" si="0"/>
        <v>6.0213859193804371</v>
      </c>
      <c r="C25" s="11">
        <f t="shared" si="1"/>
        <v>-0.26794919243112264</v>
      </c>
      <c r="D25" s="11">
        <f t="shared" si="2"/>
        <v>-0.25881904510252068</v>
      </c>
      <c r="E25" s="11">
        <f t="shared" si="3"/>
        <v>-3.8637033051562741</v>
      </c>
      <c r="F25" s="11">
        <f t="shared" si="4"/>
        <v>1.9318516525781366</v>
      </c>
      <c r="G25" s="11">
        <f t="shared" si="5"/>
        <v>-0.49999999999999989</v>
      </c>
      <c r="H25" s="11">
        <f t="shared" si="6"/>
        <v>0.96592582628906831</v>
      </c>
    </row>
    <row r="26" spans="1:8" x14ac:dyDescent="0.35">
      <c r="A26" s="1">
        <v>360</v>
      </c>
      <c r="B26" s="11">
        <f t="shared" si="0"/>
        <v>6.2831853071795862</v>
      </c>
      <c r="C26" s="11">
        <f t="shared" si="1"/>
        <v>-2.45029690981724E-16</v>
      </c>
      <c r="D26" s="11">
        <f t="shared" si="2"/>
        <v>-2.45029690981724E-16</v>
      </c>
      <c r="E26" s="11">
        <f t="shared" si="3"/>
        <v>-4081138069404768</v>
      </c>
      <c r="F26" s="11">
        <f t="shared" si="4"/>
        <v>2</v>
      </c>
      <c r="G26" s="11">
        <f t="shared" si="5"/>
        <v>-4.90059381963448E-16</v>
      </c>
      <c r="H26" s="11">
        <f t="shared" si="6"/>
        <v>1</v>
      </c>
    </row>
    <row r="27" spans="1:8" x14ac:dyDescent="0.35">
      <c r="A27" s="1">
        <v>375</v>
      </c>
      <c r="B27" s="11">
        <f t="shared" si="0"/>
        <v>6.5449846949787354</v>
      </c>
      <c r="C27" s="11">
        <f t="shared" si="1"/>
        <v>0.26794919243112214</v>
      </c>
      <c r="D27" s="11">
        <f t="shared" si="2"/>
        <v>0.25881904510252024</v>
      </c>
      <c r="E27" s="11">
        <f t="shared" si="3"/>
        <v>3.8637033051562808</v>
      </c>
      <c r="F27" s="11">
        <f t="shared" si="4"/>
        <v>1.9318516525781368</v>
      </c>
      <c r="G27" s="11">
        <f t="shared" si="5"/>
        <v>0.49999999999999906</v>
      </c>
      <c r="H27" s="11">
        <f t="shared" si="6"/>
        <v>0.96592582628906842</v>
      </c>
    </row>
    <row r="28" spans="1:8" x14ac:dyDescent="0.35">
      <c r="A28" s="1">
        <v>390</v>
      </c>
      <c r="B28" s="11">
        <f t="shared" si="0"/>
        <v>6.8067840827778854</v>
      </c>
      <c r="C28" s="11">
        <f t="shared" si="1"/>
        <v>0.57735026918962584</v>
      </c>
      <c r="D28" s="11">
        <f t="shared" si="2"/>
        <v>0.5</v>
      </c>
      <c r="E28" s="11">
        <f t="shared" si="3"/>
        <v>2</v>
      </c>
      <c r="F28" s="11">
        <f t="shared" si="4"/>
        <v>1.7320508075688772</v>
      </c>
      <c r="G28" s="11">
        <f t="shared" si="5"/>
        <v>0.86602540378443871</v>
      </c>
      <c r="H28" s="11">
        <f t="shared" si="6"/>
        <v>0.8660254037844386</v>
      </c>
    </row>
    <row r="29" spans="1:8" x14ac:dyDescent="0.35">
      <c r="A29" s="1">
        <v>405</v>
      </c>
      <c r="B29" s="11">
        <f t="shared" si="0"/>
        <v>7.0685834705770345</v>
      </c>
      <c r="C29" s="11">
        <f t="shared" si="1"/>
        <v>0.99999999999999944</v>
      </c>
      <c r="D29" s="11">
        <f t="shared" si="2"/>
        <v>0.70710678118654735</v>
      </c>
      <c r="E29" s="11">
        <f t="shared" si="3"/>
        <v>1.4142135623730954</v>
      </c>
      <c r="F29" s="11">
        <f t="shared" si="4"/>
        <v>1.4142135623730954</v>
      </c>
      <c r="G29" s="11">
        <f t="shared" si="5"/>
        <v>1</v>
      </c>
      <c r="H29" s="11">
        <f t="shared" si="6"/>
        <v>0.70710678118654768</v>
      </c>
    </row>
    <row r="30" spans="1:8" x14ac:dyDescent="0.35">
      <c r="A30" s="1">
        <v>420</v>
      </c>
      <c r="B30" s="11">
        <f t="shared" si="0"/>
        <v>7.3303828583761845</v>
      </c>
      <c r="C30" s="11">
        <f t="shared" si="1"/>
        <v>1.7320508075688785</v>
      </c>
      <c r="D30" s="11">
        <f t="shared" si="2"/>
        <v>0.86602540378443882</v>
      </c>
      <c r="E30" s="11">
        <f t="shared" si="3"/>
        <v>1.1547005383792512</v>
      </c>
      <c r="F30" s="11">
        <f t="shared" si="4"/>
        <v>0.99999999999999944</v>
      </c>
      <c r="G30" s="11">
        <f t="shared" si="5"/>
        <v>0.86602540378443837</v>
      </c>
      <c r="H30" s="11">
        <f t="shared" si="6"/>
        <v>0.49999999999999972</v>
      </c>
    </row>
    <row r="31" spans="1:8" x14ac:dyDescent="0.35">
      <c r="A31" s="1">
        <v>435</v>
      </c>
      <c r="B31" s="11">
        <f t="shared" si="0"/>
        <v>7.5921822461753337</v>
      </c>
      <c r="C31" s="11">
        <f t="shared" si="1"/>
        <v>3.7320508075688772</v>
      </c>
      <c r="D31" s="11">
        <f t="shared" si="2"/>
        <v>0.96592582628906831</v>
      </c>
      <c r="E31" s="11">
        <f t="shared" si="3"/>
        <v>1.035276180410083</v>
      </c>
      <c r="F31" s="11">
        <f t="shared" si="4"/>
        <v>0.51763809020504148</v>
      </c>
      <c r="G31" s="11">
        <f t="shared" si="5"/>
        <v>0.5</v>
      </c>
      <c r="H31" s="11">
        <f t="shared" si="6"/>
        <v>0.25881904510252074</v>
      </c>
    </row>
    <row r="32" spans="1:8" x14ac:dyDescent="0.35">
      <c r="A32" s="1">
        <v>450</v>
      </c>
      <c r="B32" s="11">
        <f t="shared" si="0"/>
        <v>7.8539816339744828</v>
      </c>
      <c r="C32" s="11">
        <f t="shared" si="1"/>
        <v>3264910455523814.5</v>
      </c>
      <c r="D32" s="11">
        <f t="shared" si="2"/>
        <v>1</v>
      </c>
      <c r="E32" s="11">
        <f t="shared" si="3"/>
        <v>1</v>
      </c>
      <c r="F32" s="11">
        <f t="shared" si="4"/>
        <v>6.1257422745431001E-16</v>
      </c>
      <c r="G32" s="11">
        <f t="shared" si="5"/>
        <v>6.1257422745431001E-16</v>
      </c>
      <c r="H32" s="11">
        <f t="shared" si="6"/>
        <v>3.06287113727155E-16</v>
      </c>
    </row>
    <row r="33" spans="1:8" x14ac:dyDescent="0.35">
      <c r="A33" s="1">
        <v>465</v>
      </c>
      <c r="B33" s="11">
        <f t="shared" si="0"/>
        <v>8.1157810217736319</v>
      </c>
      <c r="C33" s="11">
        <f t="shared" si="1"/>
        <v>-3.7320508075688865</v>
      </c>
      <c r="D33" s="11">
        <f t="shared" si="2"/>
        <v>0.96592582628906842</v>
      </c>
      <c r="E33" s="11">
        <f t="shared" si="3"/>
        <v>1.035276180410083</v>
      </c>
      <c r="F33" s="11">
        <f t="shared" si="4"/>
        <v>-0.51763809020504037</v>
      </c>
      <c r="G33" s="11">
        <f t="shared" si="5"/>
        <v>-0.49999999999999895</v>
      </c>
      <c r="H33" s="11">
        <f t="shared" si="6"/>
        <v>-0.25881904510252018</v>
      </c>
    </row>
    <row r="34" spans="1:8" x14ac:dyDescent="0.35">
      <c r="A34" s="1">
        <v>480</v>
      </c>
      <c r="B34" s="11">
        <f t="shared" si="0"/>
        <v>8.3775804095727811</v>
      </c>
      <c r="C34" s="11">
        <f t="shared" si="1"/>
        <v>-1.732050807568881</v>
      </c>
      <c r="D34" s="11">
        <f t="shared" si="2"/>
        <v>0.86602540378443915</v>
      </c>
      <c r="E34" s="11">
        <f t="shared" si="3"/>
        <v>1.1547005383792508</v>
      </c>
      <c r="F34" s="11">
        <f t="shared" si="4"/>
        <v>-0.99999999999999845</v>
      </c>
      <c r="G34" s="11">
        <f t="shared" si="5"/>
        <v>-0.86602540378443771</v>
      </c>
      <c r="H34" s="11">
        <f t="shared" si="6"/>
        <v>-0.49999999999999922</v>
      </c>
    </row>
    <row r="35" spans="1:8" x14ac:dyDescent="0.35">
      <c r="A35" s="1">
        <v>495</v>
      </c>
      <c r="B35" s="11">
        <f t="shared" si="0"/>
        <v>8.639379797371932</v>
      </c>
      <c r="C35" s="11">
        <f t="shared" si="1"/>
        <v>-0.99999999999999889</v>
      </c>
      <c r="D35" s="11">
        <f t="shared" si="2"/>
        <v>0.70710678118654713</v>
      </c>
      <c r="E35" s="11">
        <f t="shared" si="3"/>
        <v>1.4142135623730958</v>
      </c>
      <c r="F35" s="11">
        <f t="shared" si="4"/>
        <v>-1.4142135623730958</v>
      </c>
      <c r="G35" s="11">
        <f t="shared" si="5"/>
        <v>-1</v>
      </c>
      <c r="H35" s="11">
        <f t="shared" si="6"/>
        <v>-0.70710678118654791</v>
      </c>
    </row>
    <row r="36" spans="1:8" x14ac:dyDescent="0.35">
      <c r="A36" s="1">
        <v>510</v>
      </c>
      <c r="B36" s="11">
        <f t="shared" si="0"/>
        <v>8.9011791851710811</v>
      </c>
      <c r="C36" s="11">
        <f t="shared" si="1"/>
        <v>-0.5773502691896254</v>
      </c>
      <c r="D36" s="11">
        <f t="shared" si="2"/>
        <v>0.49999999999999978</v>
      </c>
      <c r="E36" s="11">
        <f t="shared" si="3"/>
        <v>2.0000000000000009</v>
      </c>
      <c r="F36" s="11">
        <f t="shared" si="4"/>
        <v>-1.7320508075688776</v>
      </c>
      <c r="G36" s="11">
        <f t="shared" si="5"/>
        <v>-0.86602540378443837</v>
      </c>
      <c r="H36" s="11">
        <f t="shared" si="6"/>
        <v>-0.86602540378443882</v>
      </c>
    </row>
    <row r="37" spans="1:8" x14ac:dyDescent="0.35">
      <c r="A37" s="1">
        <v>525</v>
      </c>
      <c r="B37" s="11">
        <f t="shared" si="0"/>
        <v>9.1629785729702302</v>
      </c>
      <c r="C37" s="11">
        <f t="shared" si="1"/>
        <v>-0.26794919243112275</v>
      </c>
      <c r="D37" s="11">
        <f t="shared" si="2"/>
        <v>0.25881904510252079</v>
      </c>
      <c r="E37" s="11">
        <f t="shared" si="3"/>
        <v>3.8637033051562728</v>
      </c>
      <c r="F37" s="11">
        <f t="shared" si="4"/>
        <v>-1.9318516525781366</v>
      </c>
      <c r="G37" s="11">
        <f t="shared" si="5"/>
        <v>-0.50000000000000011</v>
      </c>
      <c r="H37" s="11">
        <f t="shared" si="6"/>
        <v>-0.96592582628906831</v>
      </c>
    </row>
    <row r="38" spans="1:8" x14ac:dyDescent="0.35">
      <c r="A38" s="1">
        <v>540</v>
      </c>
      <c r="B38" s="11">
        <f t="shared" si="0"/>
        <v>9.4247779607693793</v>
      </c>
      <c r="C38" s="11">
        <f t="shared" si="1"/>
        <v>-3.67544536472586E-16</v>
      </c>
      <c r="D38" s="11">
        <f t="shared" si="2"/>
        <v>3.67544536472586E-16</v>
      </c>
      <c r="E38" s="11">
        <f t="shared" si="3"/>
        <v>2720758712936512</v>
      </c>
      <c r="F38" s="11">
        <f t="shared" si="4"/>
        <v>-2</v>
      </c>
      <c r="G38" s="11">
        <f t="shared" si="5"/>
        <v>-7.3508907294517201E-16</v>
      </c>
      <c r="H38" s="11">
        <f t="shared" si="6"/>
        <v>-1</v>
      </c>
    </row>
    <row r="39" spans="1:8" x14ac:dyDescent="0.35">
      <c r="A39" s="1">
        <v>555</v>
      </c>
      <c r="B39" s="11">
        <f t="shared" si="0"/>
        <v>9.6865773485685285</v>
      </c>
      <c r="C39" s="11">
        <f t="shared" si="1"/>
        <v>0.26794919243112197</v>
      </c>
      <c r="D39" s="11">
        <f t="shared" si="2"/>
        <v>-0.25881904510252013</v>
      </c>
      <c r="E39" s="11">
        <f t="shared" si="3"/>
        <v>-3.8637033051562826</v>
      </c>
      <c r="F39" s="11">
        <f t="shared" si="4"/>
        <v>-1.9318516525781368</v>
      </c>
      <c r="G39" s="11">
        <f t="shared" si="5"/>
        <v>0.49999999999999883</v>
      </c>
      <c r="H39" s="11">
        <f t="shared" si="6"/>
        <v>-0.96592582628906842</v>
      </c>
    </row>
    <row r="40" spans="1:8" x14ac:dyDescent="0.35">
      <c r="A40" s="1">
        <v>570</v>
      </c>
      <c r="B40" s="11">
        <f t="shared" si="0"/>
        <v>9.9483767363676776</v>
      </c>
      <c r="C40" s="11">
        <f t="shared" si="1"/>
        <v>0.57735026918962451</v>
      </c>
      <c r="D40" s="11">
        <f t="shared" si="2"/>
        <v>-0.49999999999999917</v>
      </c>
      <c r="E40" s="11">
        <f t="shared" si="3"/>
        <v>-2.0000000000000036</v>
      </c>
      <c r="F40" s="11">
        <f t="shared" si="4"/>
        <v>-1.7320508075688783</v>
      </c>
      <c r="G40" s="11">
        <f t="shared" si="5"/>
        <v>0.86602540378443771</v>
      </c>
      <c r="H40" s="11">
        <f t="shared" si="6"/>
        <v>-0.86602540378443915</v>
      </c>
    </row>
    <row r="41" spans="1:8" x14ac:dyDescent="0.35">
      <c r="A41" s="1">
        <v>585</v>
      </c>
      <c r="B41" s="11">
        <f t="shared" si="0"/>
        <v>10.210176124166829</v>
      </c>
      <c r="C41" s="11">
        <f t="shared" si="1"/>
        <v>1.0000000000000009</v>
      </c>
      <c r="D41" s="11">
        <f t="shared" si="2"/>
        <v>-0.70710678118654791</v>
      </c>
      <c r="E41" s="11">
        <f t="shared" si="3"/>
        <v>-1.4142135623730943</v>
      </c>
      <c r="F41" s="11">
        <f t="shared" si="4"/>
        <v>-1.4142135623730943</v>
      </c>
      <c r="G41" s="11">
        <f t="shared" si="5"/>
        <v>1</v>
      </c>
      <c r="H41" s="11">
        <f t="shared" si="6"/>
        <v>-0.70710678118654713</v>
      </c>
    </row>
    <row r="42" spans="1:8" x14ac:dyDescent="0.35">
      <c r="A42" s="1">
        <v>600</v>
      </c>
      <c r="B42" s="11">
        <f t="shared" si="0"/>
        <v>10.471975511965978</v>
      </c>
      <c r="C42" s="11">
        <f t="shared" si="1"/>
        <v>1.7320508075688781</v>
      </c>
      <c r="D42" s="11">
        <f t="shared" si="2"/>
        <v>-0.86602540378443871</v>
      </c>
      <c r="E42" s="11">
        <f t="shared" si="3"/>
        <v>-1.1547005383792515</v>
      </c>
      <c r="F42" s="11">
        <f t="shared" si="4"/>
        <v>-0.99999999999999967</v>
      </c>
      <c r="G42" s="11">
        <f t="shared" si="5"/>
        <v>0.86602540378443849</v>
      </c>
      <c r="H42" s="11">
        <f t="shared" si="6"/>
        <v>-0.49999999999999983</v>
      </c>
    </row>
    <row r="43" spans="1:8" x14ac:dyDescent="0.35">
      <c r="A43" s="1">
        <v>615</v>
      </c>
      <c r="B43" s="11">
        <f t="shared" si="0"/>
        <v>10.733774899765127</v>
      </c>
      <c r="C43" s="11">
        <f t="shared" si="1"/>
        <v>3.7320508075688754</v>
      </c>
      <c r="D43" s="11">
        <f t="shared" si="2"/>
        <v>-0.9659258262890682</v>
      </c>
      <c r="E43" s="11">
        <f t="shared" si="3"/>
        <v>-1.0352761804100832</v>
      </c>
      <c r="F43" s="11">
        <f t="shared" si="4"/>
        <v>-0.51763809020504181</v>
      </c>
      <c r="G43" s="11">
        <f t="shared" si="5"/>
        <v>0.50000000000000022</v>
      </c>
      <c r="H43" s="11">
        <f t="shared" si="6"/>
        <v>-0.25881904510252091</v>
      </c>
    </row>
    <row r="44" spans="1:8" x14ac:dyDescent="0.35">
      <c r="A44" s="1">
        <v>630</v>
      </c>
      <c r="B44" s="11">
        <f t="shared" si="0"/>
        <v>10.995574287564276</v>
      </c>
      <c r="C44" s="11">
        <f t="shared" si="1"/>
        <v>2332078896802724.5</v>
      </c>
      <c r="D44" s="11">
        <f t="shared" si="2"/>
        <v>-1</v>
      </c>
      <c r="E44" s="11">
        <f t="shared" si="3"/>
        <v>-1</v>
      </c>
      <c r="F44" s="11">
        <f t="shared" si="4"/>
        <v>-8.5760391843603401E-16</v>
      </c>
      <c r="G44" s="11">
        <f t="shared" si="5"/>
        <v>8.5760391843603401E-16</v>
      </c>
      <c r="H44" s="11">
        <f t="shared" si="6"/>
        <v>-4.28801959218017E-16</v>
      </c>
    </row>
    <row r="45" spans="1:8" x14ac:dyDescent="0.35">
      <c r="A45" s="1">
        <v>645</v>
      </c>
      <c r="B45" s="11">
        <f t="shared" si="0"/>
        <v>11.257373675363425</v>
      </c>
      <c r="C45" s="11">
        <f t="shared" si="1"/>
        <v>-3.7320508075688883</v>
      </c>
      <c r="D45" s="11">
        <f t="shared" si="2"/>
        <v>-0.96592582628906842</v>
      </c>
      <c r="E45" s="11">
        <f t="shared" si="3"/>
        <v>-1.035276180410083</v>
      </c>
      <c r="F45" s="11">
        <f t="shared" si="4"/>
        <v>0.51763809020504015</v>
      </c>
      <c r="G45" s="11">
        <f t="shared" si="5"/>
        <v>-0.49999999999999872</v>
      </c>
      <c r="H45" s="11">
        <f t="shared" si="6"/>
        <v>0.25881904510252007</v>
      </c>
    </row>
    <row r="46" spans="1:8" x14ac:dyDescent="0.35">
      <c r="A46" s="1">
        <v>660</v>
      </c>
      <c r="B46" s="11">
        <f t="shared" si="0"/>
        <v>11.519173063162574</v>
      </c>
      <c r="C46" s="11">
        <f t="shared" si="1"/>
        <v>-1.7320508075688814</v>
      </c>
      <c r="D46" s="11">
        <f t="shared" si="2"/>
        <v>-0.86602540378443915</v>
      </c>
      <c r="E46" s="11">
        <f t="shared" si="3"/>
        <v>-1.1547005383792508</v>
      </c>
      <c r="F46" s="11">
        <f t="shared" si="4"/>
        <v>0.99999999999999822</v>
      </c>
      <c r="G46" s="11">
        <f t="shared" si="5"/>
        <v>-0.8660254037844376</v>
      </c>
      <c r="H46" s="11">
        <f t="shared" si="6"/>
        <v>0.49999999999999911</v>
      </c>
    </row>
    <row r="47" spans="1:8" x14ac:dyDescent="0.35">
      <c r="A47" s="1">
        <v>675</v>
      </c>
      <c r="B47" s="11">
        <f t="shared" si="0"/>
        <v>11.780972450961725</v>
      </c>
      <c r="C47" s="11">
        <f t="shared" si="1"/>
        <v>-0.99999999999999911</v>
      </c>
      <c r="D47" s="11">
        <f t="shared" si="2"/>
        <v>-0.70710678118654724</v>
      </c>
      <c r="E47" s="11">
        <f t="shared" si="3"/>
        <v>-1.4142135623730956</v>
      </c>
      <c r="F47" s="11">
        <f t="shared" si="4"/>
        <v>1.4142135623730956</v>
      </c>
      <c r="G47" s="11">
        <f t="shared" si="5"/>
        <v>-1</v>
      </c>
      <c r="H47" s="11">
        <f t="shared" si="6"/>
        <v>0.70710678118654779</v>
      </c>
    </row>
    <row r="48" spans="1:8" x14ac:dyDescent="0.35">
      <c r="A48" s="1">
        <v>690</v>
      </c>
      <c r="B48" s="11">
        <f t="shared" si="0"/>
        <v>12.042771838760874</v>
      </c>
      <c r="C48" s="11">
        <f t="shared" si="1"/>
        <v>-0.57735026918962562</v>
      </c>
      <c r="D48" s="11">
        <f t="shared" si="2"/>
        <v>-0.49999999999999989</v>
      </c>
      <c r="E48" s="11">
        <f t="shared" si="3"/>
        <v>-2.0000000000000004</v>
      </c>
      <c r="F48" s="11">
        <f t="shared" si="4"/>
        <v>1.7320508075688774</v>
      </c>
      <c r="G48" s="11">
        <f t="shared" si="5"/>
        <v>-0.86602540378443849</v>
      </c>
      <c r="H48" s="11">
        <f t="shared" si="6"/>
        <v>0.86602540378443871</v>
      </c>
    </row>
    <row r="49" spans="1:8" x14ac:dyDescent="0.35">
      <c r="A49" s="1">
        <v>705</v>
      </c>
      <c r="B49" s="11">
        <f t="shared" si="0"/>
        <v>12.304571226560023</v>
      </c>
      <c r="C49" s="11">
        <f t="shared" si="1"/>
        <v>-0.26794919243112292</v>
      </c>
      <c r="D49" s="11">
        <f t="shared" si="2"/>
        <v>-0.25881904510252096</v>
      </c>
      <c r="E49" s="11">
        <f t="shared" si="3"/>
        <v>-3.8637033051562701</v>
      </c>
      <c r="F49" s="11">
        <f t="shared" si="4"/>
        <v>1.9318516525781364</v>
      </c>
      <c r="G49" s="11">
        <f t="shared" si="5"/>
        <v>-0.50000000000000033</v>
      </c>
      <c r="H49" s="11">
        <f t="shared" si="6"/>
        <v>0.9659258262890682</v>
      </c>
    </row>
    <row r="50" spans="1:8" x14ac:dyDescent="0.35">
      <c r="A50" s="1">
        <v>720</v>
      </c>
      <c r="B50" s="11">
        <f t="shared" si="0"/>
        <v>12.566370614359172</v>
      </c>
      <c r="C50" s="11">
        <f t="shared" si="1"/>
        <v>-4.90059381963448E-16</v>
      </c>
      <c r="D50" s="11">
        <f t="shared" si="2"/>
        <v>-4.90059381963448E-16</v>
      </c>
      <c r="E50" s="11">
        <f t="shared" si="3"/>
        <v>-2040569034702384</v>
      </c>
      <c r="F50" s="11">
        <f t="shared" si="4"/>
        <v>2</v>
      </c>
      <c r="G50" s="11">
        <f t="shared" si="5"/>
        <v>-9.8011876392689601E-16</v>
      </c>
      <c r="H50" s="11">
        <f t="shared" si="6"/>
        <v>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41E4F-1F12-4854-8B37-9C81B9D92EA9}">
  <dimension ref="A1:H50"/>
  <sheetViews>
    <sheetView tabSelected="1" zoomScale="90" zoomScaleNormal="90" workbookViewId="0">
      <selection activeCell="K24" sqref="K24"/>
    </sheetView>
  </sheetViews>
  <sheetFormatPr defaultRowHeight="14.5" x14ac:dyDescent="0.35"/>
  <cols>
    <col min="1" max="3" width="8.7265625" style="1"/>
    <col min="4" max="4" width="12.6328125" style="1" bestFit="1" customWidth="1"/>
    <col min="5" max="5" width="8.7265625" style="1"/>
    <col min="6" max="8" width="12.6328125" style="1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  <c r="G1" s="1" t="s">
        <v>6</v>
      </c>
      <c r="H1" s="1" t="s">
        <v>7</v>
      </c>
    </row>
    <row r="2" spans="1:8" x14ac:dyDescent="0.35">
      <c r="A2" s="1">
        <v>0</v>
      </c>
      <c r="B2" s="1">
        <f>RADIANS(A2)</f>
        <v>0</v>
      </c>
      <c r="C2" s="1">
        <f>SIN(B2)</f>
        <v>0</v>
      </c>
      <c r="D2" s="1">
        <f>2*SIN(B2)</f>
        <v>0</v>
      </c>
      <c r="E2" s="1">
        <f>COS(B2)</f>
        <v>1</v>
      </c>
      <c r="F2" s="1">
        <f>2*COS(B2)</f>
        <v>2</v>
      </c>
      <c r="G2" s="1">
        <f>SIN(2*B2)</f>
        <v>0</v>
      </c>
      <c r="H2" s="1">
        <f>COS(2*B2)</f>
        <v>1</v>
      </c>
    </row>
    <row r="3" spans="1:8" x14ac:dyDescent="0.35">
      <c r="A3" s="1">
        <v>15</v>
      </c>
      <c r="B3" s="1">
        <f t="shared" ref="B3:B50" si="0">RADIANS(A3)</f>
        <v>0.26179938779914941</v>
      </c>
      <c r="C3" s="1">
        <f t="shared" ref="C3:C50" si="1">SIN(B3)</f>
        <v>0.25881904510252074</v>
      </c>
      <c r="D3" s="1">
        <f t="shared" ref="D3:D50" si="2">2*SIN(B3)</f>
        <v>0.51763809020504148</v>
      </c>
      <c r="E3" s="1">
        <f t="shared" ref="E3:E50" si="3">COS(B3)</f>
        <v>0.96592582628906831</v>
      </c>
      <c r="F3" s="1">
        <f t="shared" ref="F3:F50" si="4">2*COS(B3)</f>
        <v>1.9318516525781366</v>
      </c>
      <c r="G3" s="1">
        <f t="shared" ref="G3:G50" si="5">SIN(2*B3)</f>
        <v>0.49999999999999994</v>
      </c>
      <c r="H3" s="1">
        <f t="shared" ref="H3:H50" si="6">COS(2*B3)</f>
        <v>0.86602540378443871</v>
      </c>
    </row>
    <row r="4" spans="1:8" x14ac:dyDescent="0.35">
      <c r="A4" s="1">
        <v>30</v>
      </c>
      <c r="B4" s="1">
        <f t="shared" si="0"/>
        <v>0.52359877559829882</v>
      </c>
      <c r="C4" s="1">
        <f t="shared" si="1"/>
        <v>0.49999999999999994</v>
      </c>
      <c r="D4" s="1">
        <f t="shared" si="2"/>
        <v>0.99999999999999989</v>
      </c>
      <c r="E4" s="1">
        <f t="shared" si="3"/>
        <v>0.86602540378443871</v>
      </c>
      <c r="F4" s="1">
        <f t="shared" si="4"/>
        <v>1.7320508075688774</v>
      </c>
      <c r="G4" s="1">
        <f t="shared" si="5"/>
        <v>0.8660254037844386</v>
      </c>
      <c r="H4" s="1">
        <f t="shared" si="6"/>
        <v>0.50000000000000011</v>
      </c>
    </row>
    <row r="5" spans="1:8" x14ac:dyDescent="0.35">
      <c r="A5" s="1">
        <v>45</v>
      </c>
      <c r="B5" s="1">
        <f t="shared" si="0"/>
        <v>0.78539816339744828</v>
      </c>
      <c r="C5" s="1">
        <f t="shared" si="1"/>
        <v>0.70710678118654746</v>
      </c>
      <c r="D5" s="1">
        <f t="shared" si="2"/>
        <v>1.4142135623730949</v>
      </c>
      <c r="E5" s="1">
        <f t="shared" si="3"/>
        <v>0.70710678118654757</v>
      </c>
      <c r="F5" s="1">
        <f t="shared" si="4"/>
        <v>1.4142135623730951</v>
      </c>
      <c r="G5" s="1">
        <f t="shared" si="5"/>
        <v>1</v>
      </c>
      <c r="H5" s="1">
        <f t="shared" si="6"/>
        <v>6.1257422745431001E-17</v>
      </c>
    </row>
    <row r="6" spans="1:8" x14ac:dyDescent="0.35">
      <c r="A6" s="1">
        <v>60</v>
      </c>
      <c r="B6" s="1">
        <f t="shared" si="0"/>
        <v>1.0471975511965976</v>
      </c>
      <c r="C6" s="1">
        <f t="shared" si="1"/>
        <v>0.8660254037844386</v>
      </c>
      <c r="D6" s="1">
        <f t="shared" si="2"/>
        <v>1.7320508075688772</v>
      </c>
      <c r="E6" s="1">
        <f t="shared" si="3"/>
        <v>0.50000000000000011</v>
      </c>
      <c r="F6" s="1">
        <f t="shared" si="4"/>
        <v>1.0000000000000002</v>
      </c>
      <c r="G6" s="1">
        <f t="shared" si="5"/>
        <v>0.86602540378443871</v>
      </c>
      <c r="H6" s="1">
        <f t="shared" si="6"/>
        <v>-0.49999999999999978</v>
      </c>
    </row>
    <row r="7" spans="1:8" x14ac:dyDescent="0.35">
      <c r="A7" s="1">
        <v>75</v>
      </c>
      <c r="B7" s="1">
        <f t="shared" si="0"/>
        <v>1.3089969389957472</v>
      </c>
      <c r="C7" s="1">
        <f t="shared" si="1"/>
        <v>0.96592582628906831</v>
      </c>
      <c r="D7" s="1">
        <f t="shared" si="2"/>
        <v>1.9318516525781366</v>
      </c>
      <c r="E7" s="1">
        <f t="shared" si="3"/>
        <v>0.25881904510252074</v>
      </c>
      <c r="F7" s="1">
        <f t="shared" si="4"/>
        <v>0.51763809020504148</v>
      </c>
      <c r="G7" s="1">
        <f t="shared" si="5"/>
        <v>0.49999999999999994</v>
      </c>
      <c r="H7" s="1">
        <f t="shared" si="6"/>
        <v>-0.86602540378443871</v>
      </c>
    </row>
    <row r="8" spans="1:8" x14ac:dyDescent="0.35">
      <c r="A8" s="1">
        <v>90</v>
      </c>
      <c r="B8" s="1">
        <f t="shared" si="0"/>
        <v>1.5707963267948966</v>
      </c>
      <c r="C8" s="1">
        <f t="shared" si="1"/>
        <v>1</v>
      </c>
      <c r="D8" s="1">
        <f t="shared" si="2"/>
        <v>2</v>
      </c>
      <c r="E8" s="1">
        <f t="shared" si="3"/>
        <v>6.1257422745431001E-17</v>
      </c>
      <c r="F8" s="1">
        <f t="shared" si="4"/>
        <v>1.22514845490862E-16</v>
      </c>
      <c r="G8" s="1">
        <f t="shared" si="5"/>
        <v>1.22514845490862E-16</v>
      </c>
      <c r="H8" s="1">
        <f t="shared" si="6"/>
        <v>-1</v>
      </c>
    </row>
    <row r="9" spans="1:8" x14ac:dyDescent="0.35">
      <c r="A9" s="1">
        <v>105</v>
      </c>
      <c r="B9" s="1">
        <f t="shared" si="0"/>
        <v>1.8325957145940461</v>
      </c>
      <c r="C9" s="1">
        <f t="shared" si="1"/>
        <v>0.96592582628906831</v>
      </c>
      <c r="D9" s="1">
        <f t="shared" si="2"/>
        <v>1.9318516525781366</v>
      </c>
      <c r="E9" s="1">
        <f t="shared" si="3"/>
        <v>-0.25881904510252085</v>
      </c>
      <c r="F9" s="1">
        <f t="shared" si="4"/>
        <v>-0.5176380902050417</v>
      </c>
      <c r="G9" s="1">
        <f t="shared" si="5"/>
        <v>-0.50000000000000011</v>
      </c>
      <c r="H9" s="1">
        <f t="shared" si="6"/>
        <v>-0.8660254037844386</v>
      </c>
    </row>
    <row r="10" spans="1:8" x14ac:dyDescent="0.35">
      <c r="A10" s="1">
        <v>120</v>
      </c>
      <c r="B10" s="1">
        <f t="shared" si="0"/>
        <v>2.0943951023931953</v>
      </c>
      <c r="C10" s="1">
        <f t="shared" si="1"/>
        <v>0.86602540378443871</v>
      </c>
      <c r="D10" s="1">
        <f t="shared" si="2"/>
        <v>1.7320508075688774</v>
      </c>
      <c r="E10" s="1">
        <f t="shared" si="3"/>
        <v>-0.49999999999999978</v>
      </c>
      <c r="F10" s="1">
        <f t="shared" si="4"/>
        <v>-0.99999999999999956</v>
      </c>
      <c r="G10" s="1">
        <f t="shared" si="5"/>
        <v>-0.86602540378443837</v>
      </c>
      <c r="H10" s="1">
        <f t="shared" si="6"/>
        <v>-0.50000000000000044</v>
      </c>
    </row>
    <row r="11" spans="1:8" x14ac:dyDescent="0.35">
      <c r="A11" s="1">
        <v>135</v>
      </c>
      <c r="B11" s="1">
        <f t="shared" si="0"/>
        <v>2.3561944901923448</v>
      </c>
      <c r="C11" s="1">
        <f t="shared" si="1"/>
        <v>0.70710678118654757</v>
      </c>
      <c r="D11" s="1">
        <f t="shared" si="2"/>
        <v>1.4142135623730951</v>
      </c>
      <c r="E11" s="1">
        <f t="shared" si="3"/>
        <v>-0.70710678118654746</v>
      </c>
      <c r="F11" s="1">
        <f t="shared" si="4"/>
        <v>-1.4142135623730949</v>
      </c>
      <c r="G11" s="1">
        <f t="shared" si="5"/>
        <v>-1</v>
      </c>
      <c r="H11" s="1">
        <f t="shared" si="6"/>
        <v>-1.83772268236293E-16</v>
      </c>
    </row>
    <row r="12" spans="1:8" x14ac:dyDescent="0.35">
      <c r="A12" s="1">
        <v>150</v>
      </c>
      <c r="B12" s="1">
        <f t="shared" si="0"/>
        <v>2.6179938779914944</v>
      </c>
      <c r="C12" s="1">
        <f t="shared" si="1"/>
        <v>0.49999999999999994</v>
      </c>
      <c r="D12" s="1">
        <f t="shared" si="2"/>
        <v>0.99999999999999989</v>
      </c>
      <c r="E12" s="1">
        <f t="shared" si="3"/>
        <v>-0.86602540378443871</v>
      </c>
      <c r="F12" s="1">
        <f t="shared" si="4"/>
        <v>-1.7320508075688774</v>
      </c>
      <c r="G12" s="1">
        <f t="shared" si="5"/>
        <v>-0.8660254037844386</v>
      </c>
      <c r="H12" s="1">
        <f t="shared" si="6"/>
        <v>0.50000000000000011</v>
      </c>
    </row>
    <row r="13" spans="1:8" x14ac:dyDescent="0.35">
      <c r="A13" s="1">
        <v>165</v>
      </c>
      <c r="B13" s="1">
        <f t="shared" si="0"/>
        <v>2.8797932657906435</v>
      </c>
      <c r="C13" s="1">
        <f t="shared" si="1"/>
        <v>0.25881904510252102</v>
      </c>
      <c r="D13" s="1">
        <f t="shared" si="2"/>
        <v>0.51763809020504203</v>
      </c>
      <c r="E13" s="1">
        <f t="shared" si="3"/>
        <v>-0.9659258262890682</v>
      </c>
      <c r="F13" s="1">
        <f t="shared" si="4"/>
        <v>-1.9318516525781364</v>
      </c>
      <c r="G13" s="1">
        <f t="shared" si="5"/>
        <v>-0.50000000000000044</v>
      </c>
      <c r="H13" s="1">
        <f t="shared" si="6"/>
        <v>0.86602540378443837</v>
      </c>
    </row>
    <row r="14" spans="1:8" x14ac:dyDescent="0.35">
      <c r="A14" s="1">
        <v>180</v>
      </c>
      <c r="B14" s="1">
        <f t="shared" si="0"/>
        <v>3.1415926535897931</v>
      </c>
      <c r="C14" s="1">
        <f t="shared" si="1"/>
        <v>1.22514845490862E-16</v>
      </c>
      <c r="D14" s="1">
        <f t="shared" si="2"/>
        <v>2.45029690981724E-16</v>
      </c>
      <c r="E14" s="1">
        <f t="shared" si="3"/>
        <v>-1</v>
      </c>
      <c r="F14" s="1">
        <f t="shared" si="4"/>
        <v>-2</v>
      </c>
      <c r="G14" s="1">
        <f t="shared" si="5"/>
        <v>-2.45029690981724E-16</v>
      </c>
      <c r="H14" s="1">
        <f t="shared" si="6"/>
        <v>1</v>
      </c>
    </row>
    <row r="15" spans="1:8" x14ac:dyDescent="0.35">
      <c r="A15" s="1">
        <v>195</v>
      </c>
      <c r="B15" s="1">
        <f t="shared" si="0"/>
        <v>3.4033920413889427</v>
      </c>
      <c r="C15" s="1">
        <f t="shared" si="1"/>
        <v>-0.25881904510252079</v>
      </c>
      <c r="D15" s="1">
        <f t="shared" si="2"/>
        <v>-0.51763809020504159</v>
      </c>
      <c r="E15" s="1">
        <f t="shared" si="3"/>
        <v>-0.96592582628906831</v>
      </c>
      <c r="F15" s="1">
        <f t="shared" si="4"/>
        <v>-1.9318516525781366</v>
      </c>
      <c r="G15" s="1">
        <f t="shared" si="5"/>
        <v>0.5</v>
      </c>
      <c r="H15" s="1">
        <f t="shared" si="6"/>
        <v>0.8660254037844386</v>
      </c>
    </row>
    <row r="16" spans="1:8" x14ac:dyDescent="0.35">
      <c r="A16" s="1">
        <v>210</v>
      </c>
      <c r="B16" s="1">
        <f t="shared" si="0"/>
        <v>3.6651914291880923</v>
      </c>
      <c r="C16" s="1">
        <f t="shared" si="1"/>
        <v>-0.50000000000000011</v>
      </c>
      <c r="D16" s="1">
        <f t="shared" si="2"/>
        <v>-1.0000000000000002</v>
      </c>
      <c r="E16" s="1">
        <f t="shared" si="3"/>
        <v>-0.8660254037844386</v>
      </c>
      <c r="F16" s="1">
        <f t="shared" si="4"/>
        <v>-1.7320508075688772</v>
      </c>
      <c r="G16" s="1">
        <f t="shared" si="5"/>
        <v>0.86602540378443882</v>
      </c>
      <c r="H16" s="1">
        <f t="shared" si="6"/>
        <v>0.49999999999999972</v>
      </c>
    </row>
    <row r="17" spans="1:8" x14ac:dyDescent="0.35">
      <c r="A17" s="1">
        <v>225</v>
      </c>
      <c r="B17" s="1">
        <f t="shared" si="0"/>
        <v>3.9269908169872414</v>
      </c>
      <c r="C17" s="1">
        <f t="shared" si="1"/>
        <v>-0.70710678118654746</v>
      </c>
      <c r="D17" s="1">
        <f t="shared" si="2"/>
        <v>-1.4142135623730949</v>
      </c>
      <c r="E17" s="1">
        <f t="shared" si="3"/>
        <v>-0.70710678118654768</v>
      </c>
      <c r="F17" s="1">
        <f t="shared" si="4"/>
        <v>-1.4142135623730954</v>
      </c>
      <c r="G17" s="1">
        <f t="shared" si="5"/>
        <v>1</v>
      </c>
      <c r="H17" s="1">
        <f t="shared" si="6"/>
        <v>3.06287113727155E-16</v>
      </c>
    </row>
    <row r="18" spans="1:8" x14ac:dyDescent="0.35">
      <c r="A18" s="1">
        <v>240</v>
      </c>
      <c r="B18" s="1">
        <f t="shared" si="0"/>
        <v>4.1887902047863905</v>
      </c>
      <c r="C18" s="1">
        <f t="shared" si="1"/>
        <v>-0.86602540378443837</v>
      </c>
      <c r="D18" s="1">
        <f t="shared" si="2"/>
        <v>-1.7320508075688767</v>
      </c>
      <c r="E18" s="1">
        <f t="shared" si="3"/>
        <v>-0.50000000000000044</v>
      </c>
      <c r="F18" s="1">
        <f t="shared" si="4"/>
        <v>-1.0000000000000009</v>
      </c>
      <c r="G18" s="1">
        <f t="shared" si="5"/>
        <v>0.86602540378443915</v>
      </c>
      <c r="H18" s="1">
        <f t="shared" si="6"/>
        <v>-0.49999999999999922</v>
      </c>
    </row>
    <row r="19" spans="1:8" x14ac:dyDescent="0.35">
      <c r="A19" s="1">
        <v>255</v>
      </c>
      <c r="B19" s="1">
        <f t="shared" si="0"/>
        <v>4.4505895925855405</v>
      </c>
      <c r="C19" s="1">
        <f t="shared" si="1"/>
        <v>-0.96592582628906831</v>
      </c>
      <c r="D19" s="1">
        <f t="shared" si="2"/>
        <v>-1.9318516525781366</v>
      </c>
      <c r="E19" s="1">
        <f t="shared" si="3"/>
        <v>-0.25881904510252063</v>
      </c>
      <c r="F19" s="1">
        <f t="shared" si="4"/>
        <v>-0.51763809020504126</v>
      </c>
      <c r="G19" s="1">
        <f t="shared" si="5"/>
        <v>0.49999999999999978</v>
      </c>
      <c r="H19" s="1">
        <f t="shared" si="6"/>
        <v>-0.86602540378443882</v>
      </c>
    </row>
    <row r="20" spans="1:8" x14ac:dyDescent="0.35">
      <c r="A20" s="1">
        <v>270</v>
      </c>
      <c r="B20" s="1">
        <f t="shared" si="0"/>
        <v>4.7123889803846897</v>
      </c>
      <c r="C20" s="1">
        <f t="shared" si="1"/>
        <v>-1</v>
      </c>
      <c r="D20" s="1">
        <f t="shared" si="2"/>
        <v>-2</v>
      </c>
      <c r="E20" s="1">
        <f t="shared" si="3"/>
        <v>-1.83772268236293E-16</v>
      </c>
      <c r="F20" s="1">
        <f t="shared" si="4"/>
        <v>-3.67544536472586E-16</v>
      </c>
      <c r="G20" s="1">
        <f t="shared" si="5"/>
        <v>3.67544536472586E-16</v>
      </c>
      <c r="H20" s="1">
        <f t="shared" si="6"/>
        <v>-1</v>
      </c>
    </row>
    <row r="21" spans="1:8" x14ac:dyDescent="0.35">
      <c r="A21" s="1">
        <v>285</v>
      </c>
      <c r="B21" s="1">
        <f t="shared" si="0"/>
        <v>4.9741883681838388</v>
      </c>
      <c r="C21" s="1">
        <f t="shared" si="1"/>
        <v>-0.96592582628906842</v>
      </c>
      <c r="D21" s="1">
        <f t="shared" si="2"/>
        <v>-1.9318516525781368</v>
      </c>
      <c r="E21" s="1">
        <f t="shared" si="3"/>
        <v>0.2588190451025203</v>
      </c>
      <c r="F21" s="1">
        <f t="shared" si="4"/>
        <v>0.51763809020504059</v>
      </c>
      <c r="G21" s="1">
        <f t="shared" si="5"/>
        <v>-0.49999999999999917</v>
      </c>
      <c r="H21" s="1">
        <f t="shared" si="6"/>
        <v>-0.86602540378443915</v>
      </c>
    </row>
    <row r="22" spans="1:8" x14ac:dyDescent="0.35">
      <c r="A22" s="1">
        <v>300</v>
      </c>
      <c r="B22" s="1">
        <f t="shared" si="0"/>
        <v>5.2359877559829888</v>
      </c>
      <c r="C22" s="1">
        <f t="shared" si="1"/>
        <v>-0.8660254037844386</v>
      </c>
      <c r="D22" s="1">
        <f t="shared" si="2"/>
        <v>-1.7320508075688772</v>
      </c>
      <c r="E22" s="1">
        <f t="shared" si="3"/>
        <v>0.50000000000000011</v>
      </c>
      <c r="F22" s="1">
        <f t="shared" si="4"/>
        <v>1.0000000000000002</v>
      </c>
      <c r="G22" s="1">
        <f t="shared" si="5"/>
        <v>-0.86602540378443871</v>
      </c>
      <c r="H22" s="1">
        <f t="shared" si="6"/>
        <v>-0.49999999999999983</v>
      </c>
    </row>
    <row r="23" spans="1:8" x14ac:dyDescent="0.35">
      <c r="A23" s="1">
        <v>315</v>
      </c>
      <c r="B23" s="1">
        <f t="shared" si="0"/>
        <v>5.497787143782138</v>
      </c>
      <c r="C23" s="1">
        <f t="shared" si="1"/>
        <v>-0.70710678118654768</v>
      </c>
      <c r="D23" s="1">
        <f t="shared" si="2"/>
        <v>-1.4142135623730954</v>
      </c>
      <c r="E23" s="1">
        <f t="shared" si="3"/>
        <v>0.70710678118654735</v>
      </c>
      <c r="F23" s="1">
        <f t="shared" si="4"/>
        <v>1.4142135623730947</v>
      </c>
      <c r="G23" s="1">
        <f t="shared" si="5"/>
        <v>-1</v>
      </c>
      <c r="H23" s="1">
        <f t="shared" si="6"/>
        <v>-4.28801959218017E-16</v>
      </c>
    </row>
    <row r="24" spans="1:8" x14ac:dyDescent="0.35">
      <c r="A24" s="1">
        <v>330</v>
      </c>
      <c r="B24" s="1">
        <f t="shared" si="0"/>
        <v>5.7595865315812871</v>
      </c>
      <c r="C24" s="1">
        <f t="shared" si="1"/>
        <v>-0.50000000000000044</v>
      </c>
      <c r="D24" s="1">
        <f t="shared" si="2"/>
        <v>-1.0000000000000009</v>
      </c>
      <c r="E24" s="1">
        <f t="shared" si="3"/>
        <v>0.86602540378443837</v>
      </c>
      <c r="F24" s="1">
        <f t="shared" si="4"/>
        <v>1.7320508075688767</v>
      </c>
      <c r="G24" s="1">
        <f t="shared" si="5"/>
        <v>-0.86602540378443915</v>
      </c>
      <c r="H24" s="1">
        <f t="shared" si="6"/>
        <v>0.49999999999999911</v>
      </c>
    </row>
    <row r="25" spans="1:8" x14ac:dyDescent="0.35">
      <c r="A25" s="1">
        <v>345</v>
      </c>
      <c r="B25" s="1">
        <f t="shared" si="0"/>
        <v>6.0213859193804371</v>
      </c>
      <c r="C25" s="1">
        <f t="shared" si="1"/>
        <v>-0.25881904510252068</v>
      </c>
      <c r="D25" s="1">
        <f t="shared" si="2"/>
        <v>-0.51763809020504137</v>
      </c>
      <c r="E25" s="1">
        <f t="shared" si="3"/>
        <v>0.96592582628906831</v>
      </c>
      <c r="F25" s="1">
        <f t="shared" si="4"/>
        <v>1.9318516525781366</v>
      </c>
      <c r="G25" s="1">
        <f t="shared" si="5"/>
        <v>-0.49999999999999989</v>
      </c>
      <c r="H25" s="1">
        <f t="shared" si="6"/>
        <v>0.86602540378443871</v>
      </c>
    </row>
    <row r="26" spans="1:8" x14ac:dyDescent="0.35">
      <c r="A26" s="1">
        <v>360</v>
      </c>
      <c r="B26" s="1">
        <f t="shared" si="0"/>
        <v>6.2831853071795862</v>
      </c>
      <c r="C26" s="1">
        <f t="shared" si="1"/>
        <v>-2.45029690981724E-16</v>
      </c>
      <c r="D26" s="1">
        <f t="shared" si="2"/>
        <v>-4.90059381963448E-16</v>
      </c>
      <c r="E26" s="1">
        <f t="shared" si="3"/>
        <v>1</v>
      </c>
      <c r="F26" s="1">
        <f t="shared" si="4"/>
        <v>2</v>
      </c>
      <c r="G26" s="1">
        <f t="shared" si="5"/>
        <v>-4.90059381963448E-16</v>
      </c>
      <c r="H26" s="1">
        <f t="shared" si="6"/>
        <v>1</v>
      </c>
    </row>
    <row r="27" spans="1:8" x14ac:dyDescent="0.35">
      <c r="A27" s="1">
        <v>375</v>
      </c>
      <c r="B27" s="1">
        <f t="shared" si="0"/>
        <v>6.5449846949787354</v>
      </c>
      <c r="C27" s="1">
        <f t="shared" si="1"/>
        <v>0.25881904510252024</v>
      </c>
      <c r="D27" s="1">
        <f t="shared" si="2"/>
        <v>0.51763809020504048</v>
      </c>
      <c r="E27" s="1">
        <f t="shared" si="3"/>
        <v>0.96592582628906842</v>
      </c>
      <c r="F27" s="1">
        <f t="shared" si="4"/>
        <v>1.9318516525781368</v>
      </c>
      <c r="G27" s="1">
        <f t="shared" si="5"/>
        <v>0.49999999999999906</v>
      </c>
      <c r="H27" s="1">
        <f t="shared" si="6"/>
        <v>0.86602540378443915</v>
      </c>
    </row>
    <row r="28" spans="1:8" x14ac:dyDescent="0.35">
      <c r="A28" s="1">
        <v>390</v>
      </c>
      <c r="B28" s="1">
        <f t="shared" si="0"/>
        <v>6.8067840827778854</v>
      </c>
      <c r="C28" s="1">
        <f t="shared" si="1"/>
        <v>0.5</v>
      </c>
      <c r="D28" s="1">
        <f t="shared" si="2"/>
        <v>1</v>
      </c>
      <c r="E28" s="1">
        <f t="shared" si="3"/>
        <v>0.8660254037844386</v>
      </c>
      <c r="F28" s="1">
        <f t="shared" si="4"/>
        <v>1.7320508075688772</v>
      </c>
      <c r="G28" s="1">
        <f t="shared" si="5"/>
        <v>0.86602540378443871</v>
      </c>
      <c r="H28" s="1">
        <f t="shared" si="6"/>
        <v>0.49999999999999994</v>
      </c>
    </row>
    <row r="29" spans="1:8" x14ac:dyDescent="0.35">
      <c r="A29" s="1">
        <v>405</v>
      </c>
      <c r="B29" s="1">
        <f t="shared" si="0"/>
        <v>7.0685834705770345</v>
      </c>
      <c r="C29" s="1">
        <f t="shared" si="1"/>
        <v>0.70710678118654735</v>
      </c>
      <c r="D29" s="1">
        <f t="shared" si="2"/>
        <v>1.4142135623730947</v>
      </c>
      <c r="E29" s="1">
        <f t="shared" si="3"/>
        <v>0.70710678118654768</v>
      </c>
      <c r="F29" s="1">
        <f t="shared" si="4"/>
        <v>1.4142135623730954</v>
      </c>
      <c r="G29" s="1">
        <f t="shared" si="5"/>
        <v>1</v>
      </c>
      <c r="H29" s="1">
        <f t="shared" si="6"/>
        <v>5.51316804708879E-16</v>
      </c>
    </row>
    <row r="30" spans="1:8" x14ac:dyDescent="0.35">
      <c r="A30" s="1">
        <v>420</v>
      </c>
      <c r="B30" s="1">
        <f t="shared" si="0"/>
        <v>7.3303828583761845</v>
      </c>
      <c r="C30" s="1">
        <f t="shared" si="1"/>
        <v>0.86602540378443882</v>
      </c>
      <c r="D30" s="1">
        <f t="shared" si="2"/>
        <v>1.7320508075688776</v>
      </c>
      <c r="E30" s="1">
        <f t="shared" si="3"/>
        <v>0.49999999999999972</v>
      </c>
      <c r="F30" s="1">
        <f t="shared" si="4"/>
        <v>0.99999999999999944</v>
      </c>
      <c r="G30" s="1">
        <f t="shared" si="5"/>
        <v>0.86602540378443837</v>
      </c>
      <c r="H30" s="1">
        <f t="shared" si="6"/>
        <v>-0.50000000000000056</v>
      </c>
    </row>
    <row r="31" spans="1:8" x14ac:dyDescent="0.35">
      <c r="A31" s="1">
        <v>435</v>
      </c>
      <c r="B31" s="1">
        <f t="shared" si="0"/>
        <v>7.5921822461753337</v>
      </c>
      <c r="C31" s="1">
        <f t="shared" si="1"/>
        <v>0.96592582628906831</v>
      </c>
      <c r="D31" s="1">
        <f t="shared" si="2"/>
        <v>1.9318516525781366</v>
      </c>
      <c r="E31" s="1">
        <f t="shared" si="3"/>
        <v>0.25881904510252074</v>
      </c>
      <c r="F31" s="1">
        <f t="shared" si="4"/>
        <v>0.51763809020504148</v>
      </c>
      <c r="G31" s="1">
        <f t="shared" si="5"/>
        <v>0.5</v>
      </c>
      <c r="H31" s="1">
        <f t="shared" si="6"/>
        <v>-0.8660254037844386</v>
      </c>
    </row>
    <row r="32" spans="1:8" x14ac:dyDescent="0.35">
      <c r="A32" s="1">
        <v>450</v>
      </c>
      <c r="B32" s="1">
        <f t="shared" si="0"/>
        <v>7.8539816339744828</v>
      </c>
      <c r="C32" s="1">
        <f t="shared" si="1"/>
        <v>1</v>
      </c>
      <c r="D32" s="1">
        <f t="shared" si="2"/>
        <v>2</v>
      </c>
      <c r="E32" s="1">
        <f t="shared" si="3"/>
        <v>3.06287113727155E-16</v>
      </c>
      <c r="F32" s="1">
        <f t="shared" si="4"/>
        <v>6.1257422745431001E-16</v>
      </c>
      <c r="G32" s="1">
        <f t="shared" si="5"/>
        <v>6.1257422745431001E-16</v>
      </c>
      <c r="H32" s="1">
        <f t="shared" si="6"/>
        <v>-1</v>
      </c>
    </row>
    <row r="33" spans="1:8" x14ac:dyDescent="0.35">
      <c r="A33" s="1">
        <v>465</v>
      </c>
      <c r="B33" s="1">
        <f t="shared" si="0"/>
        <v>8.1157810217736319</v>
      </c>
      <c r="C33" s="1">
        <f t="shared" si="1"/>
        <v>0.96592582628906842</v>
      </c>
      <c r="D33" s="1">
        <f t="shared" si="2"/>
        <v>1.9318516525781368</v>
      </c>
      <c r="E33" s="1">
        <f t="shared" si="3"/>
        <v>-0.25881904510252018</v>
      </c>
      <c r="F33" s="1">
        <f t="shared" si="4"/>
        <v>-0.51763809020504037</v>
      </c>
      <c r="G33" s="1">
        <f t="shared" si="5"/>
        <v>-0.49999999999999895</v>
      </c>
      <c r="H33" s="1">
        <f t="shared" si="6"/>
        <v>-0.86602540378443926</v>
      </c>
    </row>
    <row r="34" spans="1:8" x14ac:dyDescent="0.35">
      <c r="A34" s="1">
        <v>480</v>
      </c>
      <c r="B34" s="1">
        <f t="shared" si="0"/>
        <v>8.3775804095727811</v>
      </c>
      <c r="C34" s="1">
        <f t="shared" si="1"/>
        <v>0.86602540378443915</v>
      </c>
      <c r="D34" s="1">
        <f t="shared" si="2"/>
        <v>1.7320508075688783</v>
      </c>
      <c r="E34" s="1">
        <f t="shared" si="3"/>
        <v>-0.49999999999999922</v>
      </c>
      <c r="F34" s="1">
        <f t="shared" si="4"/>
        <v>-0.99999999999999845</v>
      </c>
      <c r="G34" s="1">
        <f t="shared" si="5"/>
        <v>-0.86602540378443771</v>
      </c>
      <c r="H34" s="1">
        <f t="shared" si="6"/>
        <v>-0.50000000000000155</v>
      </c>
    </row>
    <row r="35" spans="1:8" x14ac:dyDescent="0.35">
      <c r="A35" s="1">
        <v>495</v>
      </c>
      <c r="B35" s="1">
        <f t="shared" si="0"/>
        <v>8.639379797371932</v>
      </c>
      <c r="C35" s="1">
        <f t="shared" si="1"/>
        <v>0.70710678118654713</v>
      </c>
      <c r="D35" s="1">
        <f t="shared" si="2"/>
        <v>1.4142135623730943</v>
      </c>
      <c r="E35" s="1">
        <f t="shared" si="3"/>
        <v>-0.70710678118654791</v>
      </c>
      <c r="F35" s="1">
        <f t="shared" si="4"/>
        <v>-1.4142135623730958</v>
      </c>
      <c r="G35" s="1">
        <f t="shared" si="5"/>
        <v>-1</v>
      </c>
      <c r="H35" s="1">
        <f t="shared" si="6"/>
        <v>1.1025251892005095E-15</v>
      </c>
    </row>
    <row r="36" spans="1:8" x14ac:dyDescent="0.35">
      <c r="A36" s="1">
        <v>510</v>
      </c>
      <c r="B36" s="1">
        <f t="shared" si="0"/>
        <v>8.9011791851710811</v>
      </c>
      <c r="C36" s="1">
        <f t="shared" si="1"/>
        <v>0.49999999999999978</v>
      </c>
      <c r="D36" s="1">
        <f t="shared" si="2"/>
        <v>0.99999999999999956</v>
      </c>
      <c r="E36" s="1">
        <f t="shared" si="3"/>
        <v>-0.86602540378443882</v>
      </c>
      <c r="F36" s="1">
        <f t="shared" si="4"/>
        <v>-1.7320508075688776</v>
      </c>
      <c r="G36" s="1">
        <f t="shared" si="5"/>
        <v>-0.86602540378443837</v>
      </c>
      <c r="H36" s="1">
        <f t="shared" si="6"/>
        <v>0.50000000000000044</v>
      </c>
    </row>
    <row r="37" spans="1:8" x14ac:dyDescent="0.35">
      <c r="A37" s="1">
        <v>525</v>
      </c>
      <c r="B37" s="1">
        <f t="shared" si="0"/>
        <v>9.1629785729702302</v>
      </c>
      <c r="C37" s="1">
        <f t="shared" si="1"/>
        <v>0.25881904510252079</v>
      </c>
      <c r="D37" s="1">
        <f t="shared" si="2"/>
        <v>0.51763809020504159</v>
      </c>
      <c r="E37" s="1">
        <f t="shared" si="3"/>
        <v>-0.96592582628906831</v>
      </c>
      <c r="F37" s="1">
        <f t="shared" si="4"/>
        <v>-1.9318516525781366</v>
      </c>
      <c r="G37" s="1">
        <f t="shared" si="5"/>
        <v>-0.50000000000000011</v>
      </c>
      <c r="H37" s="1">
        <f t="shared" si="6"/>
        <v>0.8660254037844386</v>
      </c>
    </row>
    <row r="38" spans="1:8" x14ac:dyDescent="0.35">
      <c r="A38" s="1">
        <v>540</v>
      </c>
      <c r="B38" s="1">
        <f t="shared" si="0"/>
        <v>9.4247779607693793</v>
      </c>
      <c r="C38" s="1">
        <f t="shared" si="1"/>
        <v>3.67544536472586E-16</v>
      </c>
      <c r="D38" s="1">
        <f t="shared" si="2"/>
        <v>7.3508907294517201E-16</v>
      </c>
      <c r="E38" s="1">
        <f t="shared" si="3"/>
        <v>-1</v>
      </c>
      <c r="F38" s="1">
        <f t="shared" si="4"/>
        <v>-2</v>
      </c>
      <c r="G38" s="1">
        <f t="shared" si="5"/>
        <v>-7.3508907294517201E-16</v>
      </c>
      <c r="H38" s="1">
        <f t="shared" si="6"/>
        <v>1</v>
      </c>
    </row>
    <row r="39" spans="1:8" x14ac:dyDescent="0.35">
      <c r="A39" s="1">
        <v>555</v>
      </c>
      <c r="B39" s="1">
        <f t="shared" si="0"/>
        <v>9.6865773485685285</v>
      </c>
      <c r="C39" s="1">
        <f t="shared" si="1"/>
        <v>-0.25881904510252013</v>
      </c>
      <c r="D39" s="1">
        <f t="shared" si="2"/>
        <v>-0.51763809020504026</v>
      </c>
      <c r="E39" s="1">
        <f t="shared" si="3"/>
        <v>-0.96592582628906842</v>
      </c>
      <c r="F39" s="1">
        <f t="shared" si="4"/>
        <v>-1.9318516525781368</v>
      </c>
      <c r="G39" s="1">
        <f t="shared" si="5"/>
        <v>0.49999999999999883</v>
      </c>
      <c r="H39" s="1">
        <f t="shared" si="6"/>
        <v>0.86602540378443937</v>
      </c>
    </row>
    <row r="40" spans="1:8" x14ac:dyDescent="0.35">
      <c r="A40" s="1">
        <v>570</v>
      </c>
      <c r="B40" s="1">
        <f t="shared" si="0"/>
        <v>9.9483767363676776</v>
      </c>
      <c r="C40" s="1">
        <f t="shared" si="1"/>
        <v>-0.49999999999999917</v>
      </c>
      <c r="D40" s="1">
        <f t="shared" si="2"/>
        <v>-0.99999999999999833</v>
      </c>
      <c r="E40" s="1">
        <f t="shared" si="3"/>
        <v>-0.86602540378443915</v>
      </c>
      <c r="F40" s="1">
        <f t="shared" si="4"/>
        <v>-1.7320508075688783</v>
      </c>
      <c r="G40" s="1">
        <f t="shared" si="5"/>
        <v>0.86602540378443771</v>
      </c>
      <c r="H40" s="1">
        <f t="shared" si="6"/>
        <v>0.50000000000000167</v>
      </c>
    </row>
    <row r="41" spans="1:8" x14ac:dyDescent="0.35">
      <c r="A41" s="1">
        <v>585</v>
      </c>
      <c r="B41" s="1">
        <f t="shared" si="0"/>
        <v>10.210176124166829</v>
      </c>
      <c r="C41" s="1">
        <f t="shared" si="1"/>
        <v>-0.70710678118654791</v>
      </c>
      <c r="D41" s="1">
        <f t="shared" si="2"/>
        <v>-1.4142135623730958</v>
      </c>
      <c r="E41" s="1">
        <f t="shared" si="3"/>
        <v>-0.70710678118654713</v>
      </c>
      <c r="F41" s="1">
        <f t="shared" si="4"/>
        <v>-1.4142135623730943</v>
      </c>
      <c r="G41" s="1">
        <f t="shared" si="5"/>
        <v>1</v>
      </c>
      <c r="H41" s="1">
        <f t="shared" si="6"/>
        <v>-9.8001034370964746E-16</v>
      </c>
    </row>
    <row r="42" spans="1:8" x14ac:dyDescent="0.35">
      <c r="A42" s="1">
        <v>600</v>
      </c>
      <c r="B42" s="1">
        <f t="shared" si="0"/>
        <v>10.471975511965978</v>
      </c>
      <c r="C42" s="1">
        <f t="shared" si="1"/>
        <v>-0.86602540378443871</v>
      </c>
      <c r="D42" s="1">
        <f t="shared" si="2"/>
        <v>-1.7320508075688774</v>
      </c>
      <c r="E42" s="1">
        <f t="shared" si="3"/>
        <v>-0.49999999999999983</v>
      </c>
      <c r="F42" s="1">
        <f t="shared" si="4"/>
        <v>-0.99999999999999967</v>
      </c>
      <c r="G42" s="1">
        <f t="shared" si="5"/>
        <v>0.86602540378443849</v>
      </c>
      <c r="H42" s="1">
        <f t="shared" si="6"/>
        <v>-0.50000000000000033</v>
      </c>
    </row>
    <row r="43" spans="1:8" x14ac:dyDescent="0.35">
      <c r="A43" s="1">
        <v>615</v>
      </c>
      <c r="B43" s="1">
        <f t="shared" si="0"/>
        <v>10.733774899765127</v>
      </c>
      <c r="C43" s="1">
        <f t="shared" si="1"/>
        <v>-0.9659258262890682</v>
      </c>
      <c r="D43" s="1">
        <f t="shared" si="2"/>
        <v>-1.9318516525781364</v>
      </c>
      <c r="E43" s="1">
        <f t="shared" si="3"/>
        <v>-0.25881904510252091</v>
      </c>
      <c r="F43" s="1">
        <f t="shared" si="4"/>
        <v>-0.51763809020504181</v>
      </c>
      <c r="G43" s="1">
        <f t="shared" si="5"/>
        <v>0.50000000000000022</v>
      </c>
      <c r="H43" s="1">
        <f t="shared" si="6"/>
        <v>-0.86602540378443849</v>
      </c>
    </row>
    <row r="44" spans="1:8" x14ac:dyDescent="0.35">
      <c r="A44" s="1">
        <v>630</v>
      </c>
      <c r="B44" s="1">
        <f t="shared" si="0"/>
        <v>10.995574287564276</v>
      </c>
      <c r="C44" s="1">
        <f t="shared" si="1"/>
        <v>-1</v>
      </c>
      <c r="D44" s="1">
        <f t="shared" si="2"/>
        <v>-2</v>
      </c>
      <c r="E44" s="1">
        <f t="shared" si="3"/>
        <v>-4.28801959218017E-16</v>
      </c>
      <c r="F44" s="1">
        <f t="shared" si="4"/>
        <v>-8.5760391843603401E-16</v>
      </c>
      <c r="G44" s="1">
        <f t="shared" si="5"/>
        <v>8.5760391843603401E-16</v>
      </c>
      <c r="H44" s="1">
        <f t="shared" si="6"/>
        <v>-1</v>
      </c>
    </row>
    <row r="45" spans="1:8" x14ac:dyDescent="0.35">
      <c r="A45" s="1">
        <v>645</v>
      </c>
      <c r="B45" s="1">
        <f t="shared" si="0"/>
        <v>11.257373675363425</v>
      </c>
      <c r="C45" s="1">
        <f t="shared" si="1"/>
        <v>-0.96592582628906842</v>
      </c>
      <c r="D45" s="1">
        <f t="shared" si="2"/>
        <v>-1.9318516525781368</v>
      </c>
      <c r="E45" s="1">
        <f t="shared" si="3"/>
        <v>0.25881904510252007</v>
      </c>
      <c r="F45" s="1">
        <f t="shared" si="4"/>
        <v>0.51763809020504015</v>
      </c>
      <c r="G45" s="1">
        <f t="shared" si="5"/>
        <v>-0.49999999999999872</v>
      </c>
      <c r="H45" s="1">
        <f t="shared" si="6"/>
        <v>-0.86602540378443937</v>
      </c>
    </row>
    <row r="46" spans="1:8" x14ac:dyDescent="0.35">
      <c r="A46" s="1">
        <v>660</v>
      </c>
      <c r="B46" s="1">
        <f t="shared" si="0"/>
        <v>11.519173063162574</v>
      </c>
      <c r="C46" s="1">
        <f t="shared" si="1"/>
        <v>-0.86602540378443915</v>
      </c>
      <c r="D46" s="1">
        <f t="shared" si="2"/>
        <v>-1.7320508075688783</v>
      </c>
      <c r="E46" s="1">
        <f t="shared" si="3"/>
        <v>0.49999999999999911</v>
      </c>
      <c r="F46" s="1">
        <f t="shared" si="4"/>
        <v>0.99999999999999822</v>
      </c>
      <c r="G46" s="1">
        <f t="shared" si="5"/>
        <v>-0.8660254037844376</v>
      </c>
      <c r="H46" s="1">
        <f t="shared" si="6"/>
        <v>-0.50000000000000178</v>
      </c>
    </row>
    <row r="47" spans="1:8" x14ac:dyDescent="0.35">
      <c r="A47" s="1">
        <v>675</v>
      </c>
      <c r="B47" s="1">
        <f t="shared" si="0"/>
        <v>11.780972450961725</v>
      </c>
      <c r="C47" s="1">
        <f t="shared" si="1"/>
        <v>-0.70710678118654724</v>
      </c>
      <c r="D47" s="1">
        <f t="shared" si="2"/>
        <v>-1.4142135623730945</v>
      </c>
      <c r="E47" s="1">
        <f t="shared" si="3"/>
        <v>0.70710678118654779</v>
      </c>
      <c r="F47" s="1">
        <f t="shared" si="4"/>
        <v>1.4142135623730956</v>
      </c>
      <c r="G47" s="1">
        <f t="shared" si="5"/>
        <v>-1</v>
      </c>
      <c r="H47" s="1">
        <f t="shared" si="6"/>
        <v>8.5749549821878546E-16</v>
      </c>
    </row>
    <row r="48" spans="1:8" x14ac:dyDescent="0.35">
      <c r="A48" s="1">
        <v>690</v>
      </c>
      <c r="B48" s="1">
        <f t="shared" si="0"/>
        <v>12.042771838760874</v>
      </c>
      <c r="C48" s="1">
        <f t="shared" si="1"/>
        <v>-0.49999999999999989</v>
      </c>
      <c r="D48" s="1">
        <f t="shared" si="2"/>
        <v>-0.99999999999999978</v>
      </c>
      <c r="E48" s="1">
        <f t="shared" si="3"/>
        <v>0.86602540378443871</v>
      </c>
      <c r="F48" s="1">
        <f t="shared" si="4"/>
        <v>1.7320508075688774</v>
      </c>
      <c r="G48" s="1">
        <f t="shared" si="5"/>
        <v>-0.86602540378443849</v>
      </c>
      <c r="H48" s="1">
        <f t="shared" si="6"/>
        <v>0.50000000000000022</v>
      </c>
    </row>
    <row r="49" spans="1:8" x14ac:dyDescent="0.35">
      <c r="A49" s="1">
        <v>705</v>
      </c>
      <c r="B49" s="1">
        <f t="shared" si="0"/>
        <v>12.304571226560023</v>
      </c>
      <c r="C49" s="1">
        <f t="shared" si="1"/>
        <v>-0.25881904510252096</v>
      </c>
      <c r="D49" s="1">
        <f t="shared" si="2"/>
        <v>-0.51763809020504192</v>
      </c>
      <c r="E49" s="1">
        <f t="shared" si="3"/>
        <v>0.9659258262890682</v>
      </c>
      <c r="F49" s="1">
        <f t="shared" si="4"/>
        <v>1.9318516525781364</v>
      </c>
      <c r="G49" s="1">
        <f t="shared" si="5"/>
        <v>-0.50000000000000033</v>
      </c>
      <c r="H49" s="1">
        <f t="shared" si="6"/>
        <v>0.86602540378443849</v>
      </c>
    </row>
    <row r="50" spans="1:8" x14ac:dyDescent="0.35">
      <c r="A50" s="1">
        <v>720</v>
      </c>
      <c r="B50" s="1">
        <f t="shared" si="0"/>
        <v>12.566370614359172</v>
      </c>
      <c r="C50" s="1">
        <f t="shared" si="1"/>
        <v>-4.90059381963448E-16</v>
      </c>
      <c r="D50" s="1">
        <f t="shared" si="2"/>
        <v>-9.8011876392689601E-16</v>
      </c>
      <c r="E50" s="1">
        <f t="shared" si="3"/>
        <v>1</v>
      </c>
      <c r="F50" s="1">
        <f t="shared" si="4"/>
        <v>2</v>
      </c>
      <c r="G50" s="1">
        <f t="shared" si="5"/>
        <v>-9.8011876392689601E-16</v>
      </c>
      <c r="H50" s="1">
        <f t="shared" si="6"/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Sin Cos complimentary</vt:lpstr>
      <vt:lpstr>sec cosec</vt:lpstr>
      <vt:lpstr>csc sine</vt:lpstr>
      <vt:lpstr>tan </vt:lpstr>
      <vt:lpstr>tan graph</vt:lpstr>
      <vt:lpstr>sin cos 2(2theta）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Samung</dc:creator>
  <cp:lastModifiedBy>singer wan</cp:lastModifiedBy>
  <dcterms:created xsi:type="dcterms:W3CDTF">2015-06-05T18:17:20Z</dcterms:created>
  <dcterms:modified xsi:type="dcterms:W3CDTF">2026-06-21T01:27:39Z</dcterms:modified>
</cp:coreProperties>
</file>